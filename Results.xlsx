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adbouduniversiteit-my.sharepoint.com/personal/tiara_verbruggen_ru_nl/Documents/Documents/2025-2026 B3/Bachelor Thesis/"/>
    </mc:Choice>
  </mc:AlternateContent>
  <xr:revisionPtr revIDLastSave="3116" documentId="8_{0E95C1E0-F181-41AA-8FD2-FE247BEEAA56}" xr6:coauthVersionLast="47" xr6:coauthVersionMax="47" xr10:uidLastSave="{52B00696-8897-4DE1-B4AE-751AC9A837E2}"/>
  <bookViews>
    <workbookView xWindow="-120" yWindow="-120" windowWidth="38640" windowHeight="21120" xr2:uid="{00000000-000D-0000-FFFF-FFFF00000000}"/>
  </bookViews>
  <sheets>
    <sheet name="Scores" sheetId="1" r:id="rId1"/>
    <sheet name="Tables and Graphs" sheetId="10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10" l="1"/>
  <c r="D62" i="10"/>
  <c r="D61" i="10"/>
  <c r="C63" i="10"/>
  <c r="C62" i="10"/>
  <c r="C61" i="10"/>
  <c r="B63" i="10"/>
  <c r="B62" i="10"/>
  <c r="B61" i="10"/>
  <c r="D58" i="10"/>
  <c r="D57" i="10"/>
  <c r="D56" i="10"/>
  <c r="C58" i="10"/>
  <c r="C57" i="10"/>
  <c r="C56" i="10"/>
  <c r="B58" i="10"/>
  <c r="B57" i="10"/>
  <c r="B56" i="10"/>
  <c r="D53" i="10"/>
  <c r="D52" i="10"/>
  <c r="D51" i="10"/>
  <c r="C53" i="10"/>
  <c r="C52" i="10"/>
  <c r="C51" i="10"/>
  <c r="B53" i="10"/>
  <c r="B52" i="10"/>
  <c r="B51" i="10"/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2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2" i="1"/>
  <c r="O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P66" i="1"/>
  <c r="Q66" i="1"/>
  <c r="R66" i="1" s="1"/>
  <c r="S66" i="1"/>
  <c r="T66" i="1"/>
  <c r="U66" i="1"/>
  <c r="V66" i="1"/>
  <c r="W66" i="1"/>
  <c r="X66" i="1"/>
  <c r="AA66" i="1"/>
  <c r="AB66" i="1"/>
  <c r="AD66" i="1"/>
  <c r="AE66" i="1"/>
  <c r="AF66" i="1"/>
  <c r="AG66" i="1"/>
  <c r="AH66" i="1"/>
  <c r="AI66" i="1"/>
  <c r="I66" i="1"/>
  <c r="J66" i="1"/>
  <c r="K66" i="1"/>
  <c r="L66" i="1"/>
  <c r="M66" i="1"/>
  <c r="H66" i="1"/>
  <c r="F66" i="1"/>
  <c r="G66" i="1" s="1"/>
  <c r="E66" i="1"/>
  <c r="N62" i="1"/>
  <c r="Y62" i="1"/>
  <c r="AJ62" i="1"/>
  <c r="N63" i="1"/>
  <c r="Y63" i="1"/>
  <c r="AJ63" i="1"/>
  <c r="N64" i="1"/>
  <c r="Y64" i="1"/>
  <c r="AJ64" i="1"/>
  <c r="N65" i="1"/>
  <c r="Y65" i="1"/>
  <c r="AJ65" i="1"/>
  <c r="N52" i="1"/>
  <c r="Y52" i="1"/>
  <c r="AJ52" i="1"/>
  <c r="N53" i="1"/>
  <c r="Y53" i="1"/>
  <c r="AJ53" i="1"/>
  <c r="N54" i="1"/>
  <c r="Y54" i="1"/>
  <c r="AJ54" i="1"/>
  <c r="N55" i="1"/>
  <c r="Y55" i="1"/>
  <c r="AJ55" i="1"/>
  <c r="N51" i="1"/>
  <c r="Y51" i="1"/>
  <c r="AJ51" i="1"/>
  <c r="N56" i="1"/>
  <c r="Y56" i="1"/>
  <c r="AJ56" i="1"/>
  <c r="N57" i="1"/>
  <c r="Y57" i="1"/>
  <c r="AJ57" i="1"/>
  <c r="N59" i="1"/>
  <c r="Y59" i="1"/>
  <c r="AJ59" i="1"/>
  <c r="N60" i="1"/>
  <c r="Y60" i="1"/>
  <c r="AJ60" i="1"/>
  <c r="N58" i="1"/>
  <c r="Y58" i="1"/>
  <c r="AJ58" i="1"/>
  <c r="N50" i="1"/>
  <c r="Y50" i="1"/>
  <c r="AJ50" i="1"/>
  <c r="N49" i="1"/>
  <c r="Y49" i="1"/>
  <c r="AJ49" i="1"/>
  <c r="N61" i="1"/>
  <c r="Y61" i="1"/>
  <c r="AJ61" i="1"/>
  <c r="N48" i="1"/>
  <c r="Y48" i="1"/>
  <c r="AJ48" i="1"/>
  <c r="N47" i="1"/>
  <c r="Y47" i="1"/>
  <c r="AJ47" i="1"/>
  <c r="AJ44" i="1"/>
  <c r="AJ37" i="1"/>
  <c r="N8" i="1"/>
  <c r="AJ46" i="1"/>
  <c r="AJ45" i="1"/>
  <c r="AJ43" i="1"/>
  <c r="AJ42" i="1"/>
  <c r="AJ41" i="1"/>
  <c r="AJ40" i="1"/>
  <c r="AJ39" i="1"/>
  <c r="AJ38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N2" i="1"/>
  <c r="N3" i="1"/>
  <c r="N4" i="1"/>
  <c r="N5" i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D48" i="10"/>
  <c r="C42" i="10"/>
  <c r="B41" i="10"/>
  <c r="D43" i="10"/>
  <c r="C47" i="10"/>
  <c r="B48" i="10"/>
  <c r="D46" i="10"/>
  <c r="C48" i="10"/>
  <c r="B46" i="10"/>
  <c r="C41" i="10"/>
  <c r="D42" i="10"/>
  <c r="D47" i="10"/>
  <c r="D41" i="10"/>
  <c r="B43" i="10"/>
  <c r="C43" i="10"/>
  <c r="C46" i="10"/>
  <c r="B47" i="10"/>
  <c r="B42" i="10"/>
  <c r="AN56" i="1" l="1"/>
  <c r="AJ66" i="1"/>
  <c r="Z66" i="1"/>
  <c r="AK66" i="1"/>
  <c r="N66" i="1"/>
  <c r="Y66" i="1"/>
  <c r="AN48" i="1"/>
  <c r="O66" i="1"/>
  <c r="AM63" i="1"/>
  <c r="AN62" i="1"/>
  <c r="AL62" i="1"/>
  <c r="AM65" i="1"/>
  <c r="AL65" i="1"/>
  <c r="AN65" i="1"/>
  <c r="AM64" i="1"/>
  <c r="AL64" i="1"/>
  <c r="AN64" i="1"/>
  <c r="AL63" i="1"/>
  <c r="AN63" i="1"/>
  <c r="AM62" i="1"/>
  <c r="AL47" i="1"/>
  <c r="AN58" i="1"/>
  <c r="AM50" i="1"/>
  <c r="AN47" i="1"/>
  <c r="AM61" i="1"/>
  <c r="AN61" i="1"/>
  <c r="AL61" i="1"/>
  <c r="AN60" i="1"/>
  <c r="AM60" i="1"/>
  <c r="AL60" i="1"/>
  <c r="AN59" i="1"/>
  <c r="AM59" i="1"/>
  <c r="AL59" i="1"/>
  <c r="AM58" i="1"/>
  <c r="AL58" i="1"/>
  <c r="AN57" i="1"/>
  <c r="AM57" i="1"/>
  <c r="AL57" i="1"/>
  <c r="AM56" i="1"/>
  <c r="AL56" i="1"/>
  <c r="AN55" i="1"/>
  <c r="AM55" i="1"/>
  <c r="AL55" i="1"/>
  <c r="AN54" i="1"/>
  <c r="AM54" i="1"/>
  <c r="AL54" i="1"/>
  <c r="AN53" i="1"/>
  <c r="AM53" i="1"/>
  <c r="AL53" i="1"/>
  <c r="AM52" i="1"/>
  <c r="AN52" i="1"/>
  <c r="AL52" i="1"/>
  <c r="AN51" i="1"/>
  <c r="AM51" i="1"/>
  <c r="AL51" i="1"/>
  <c r="AN50" i="1"/>
  <c r="AL50" i="1"/>
  <c r="AN49" i="1"/>
  <c r="AM49" i="1"/>
  <c r="AL49" i="1"/>
  <c r="AM48" i="1"/>
  <c r="AL48" i="1"/>
  <c r="AM47" i="1"/>
  <c r="AM10" i="1"/>
  <c r="AL10" i="1"/>
  <c r="AL12" i="1"/>
  <c r="AN8" i="1"/>
  <c r="AN42" i="1"/>
  <c r="AN31" i="1"/>
  <c r="AN19" i="1"/>
  <c r="AL46" i="1"/>
  <c r="AN14" i="1"/>
  <c r="AM18" i="1"/>
  <c r="AN30" i="1"/>
  <c r="AL16" i="1"/>
  <c r="AL6" i="1"/>
  <c r="AL2" i="1"/>
  <c r="AM12" i="1"/>
  <c r="AL20" i="1"/>
  <c r="AL23" i="1"/>
  <c r="AN26" i="1"/>
  <c r="AN32" i="1"/>
  <c r="AM4" i="1"/>
  <c r="AL7" i="1"/>
  <c r="AN16" i="1"/>
  <c r="AN18" i="1"/>
  <c r="AL19" i="1"/>
  <c r="AL37" i="1"/>
  <c r="AL9" i="1"/>
  <c r="AL26" i="1"/>
  <c r="AL8" i="1"/>
  <c r="AL17" i="1"/>
  <c r="AN25" i="1"/>
  <c r="AN40" i="1"/>
  <c r="AN43" i="1"/>
  <c r="AL24" i="1"/>
  <c r="AL14" i="1"/>
  <c r="AN21" i="1"/>
  <c r="AN24" i="1"/>
  <c r="AL29" i="1"/>
  <c r="AL35" i="1"/>
  <c r="AN39" i="1"/>
  <c r="AN44" i="1"/>
  <c r="AM5" i="1"/>
  <c r="AN20" i="1"/>
  <c r="AL22" i="1"/>
  <c r="AN34" i="1"/>
  <c r="AN38" i="1"/>
  <c r="AL41" i="1"/>
  <c r="AN46" i="1"/>
  <c r="AM16" i="1"/>
  <c r="AM3" i="1"/>
  <c r="AL18" i="1"/>
  <c r="AN22" i="1"/>
  <c r="AL27" i="1"/>
  <c r="AN28" i="1"/>
  <c r="AN33" i="1"/>
  <c r="AN36" i="1"/>
  <c r="AN37" i="1"/>
  <c r="AN45" i="1"/>
  <c r="AN12" i="1"/>
  <c r="AM8" i="1"/>
  <c r="AN10" i="1"/>
  <c r="AM14" i="1"/>
  <c r="AM20" i="1"/>
  <c r="AL21" i="1"/>
  <c r="AN23" i="1"/>
  <c r="AL4" i="1"/>
  <c r="AL31" i="1"/>
  <c r="AL43" i="1"/>
  <c r="AM11" i="1"/>
  <c r="AM13" i="1"/>
  <c r="AM15" i="1"/>
  <c r="AM2" i="1"/>
  <c r="AN4" i="1"/>
  <c r="AL5" i="1"/>
  <c r="AM23" i="1"/>
  <c r="AM33" i="1"/>
  <c r="AM39" i="1"/>
  <c r="AM45" i="1"/>
  <c r="AN5" i="1"/>
  <c r="AL11" i="1"/>
  <c r="AL13" i="1"/>
  <c r="AL15" i="1"/>
  <c r="AN17" i="1"/>
  <c r="AM21" i="1"/>
  <c r="AN29" i="1"/>
  <c r="AN35" i="1"/>
  <c r="AN41" i="1"/>
  <c r="AL3" i="1"/>
  <c r="AM7" i="1"/>
  <c r="AM9" i="1"/>
  <c r="AM27" i="1"/>
  <c r="AM35" i="1"/>
  <c r="AM41" i="1"/>
  <c r="AN3" i="1"/>
  <c r="AM6" i="1"/>
  <c r="AM25" i="1"/>
  <c r="AN6" i="1"/>
  <c r="AN7" i="1"/>
  <c r="AN9" i="1"/>
  <c r="AN11" i="1"/>
  <c r="AN13" i="1"/>
  <c r="AN15" i="1"/>
  <c r="AM19" i="1"/>
  <c r="AL25" i="1"/>
  <c r="AN27" i="1"/>
  <c r="AM31" i="1"/>
  <c r="AL33" i="1"/>
  <c r="AM37" i="1"/>
  <c r="AL39" i="1"/>
  <c r="AM43" i="1"/>
  <c r="AL45" i="1"/>
  <c r="AN2" i="1"/>
  <c r="AM17" i="1"/>
  <c r="AM29" i="1"/>
  <c r="AL28" i="1"/>
  <c r="AL30" i="1"/>
  <c r="AL32" i="1"/>
  <c r="AL34" i="1"/>
  <c r="AL36" i="1"/>
  <c r="AL38" i="1"/>
  <c r="AL40" i="1"/>
  <c r="AL42" i="1"/>
  <c r="AL44" i="1"/>
  <c r="AM22" i="1"/>
  <c r="AM24" i="1"/>
  <c r="AM26" i="1"/>
  <c r="AM28" i="1"/>
  <c r="AM30" i="1"/>
  <c r="AM32" i="1"/>
  <c r="AM34" i="1"/>
  <c r="AM36" i="1"/>
  <c r="AM38" i="1"/>
  <c r="AM40" i="1"/>
  <c r="AM42" i="1"/>
  <c r="AM44" i="1"/>
  <c r="AM46" i="1"/>
  <c r="AL66" i="1" l="1"/>
  <c r="AM66" i="1"/>
  <c r="AN66" i="1"/>
</calcChain>
</file>

<file path=xl/sharedStrings.xml><?xml version="1.0" encoding="utf-8"?>
<sst xmlns="http://schemas.openxmlformats.org/spreadsheetml/2006/main" count="271" uniqueCount="94">
  <si>
    <t>Participant_ID</t>
  </si>
  <si>
    <t>Condition</t>
  </si>
  <si>
    <t>Pre_Q1</t>
  </si>
  <si>
    <t>Pre_Q2</t>
  </si>
  <si>
    <t>Pre_Total</t>
  </si>
  <si>
    <t>Post_Q1</t>
  </si>
  <si>
    <t>Post_Q2</t>
  </si>
  <si>
    <t>Post_Total</t>
  </si>
  <si>
    <t>Transfer_Q1</t>
  </si>
  <si>
    <t>Transfer_Q2</t>
  </si>
  <si>
    <t>Transfer_Total</t>
  </si>
  <si>
    <t>Gain_Pre_Post</t>
  </si>
  <si>
    <t>Gain_Post_Transfer</t>
  </si>
  <si>
    <t>Gain_Pre_Transfer</t>
  </si>
  <si>
    <t>Exclude?</t>
  </si>
  <si>
    <t>A</t>
  </si>
  <si>
    <t>B</t>
  </si>
  <si>
    <t>C</t>
  </si>
  <si>
    <t>Pre_Q3.1</t>
  </si>
  <si>
    <t>Pre_Q3.2</t>
  </si>
  <si>
    <t>Pre_Q3.3</t>
  </si>
  <si>
    <t>Pre_Q3.4</t>
  </si>
  <si>
    <t>Pre_Q3.5</t>
  </si>
  <si>
    <t>Pre_Q3.6</t>
  </si>
  <si>
    <t>Post_Q3.1</t>
  </si>
  <si>
    <t>Post_Q3.2</t>
  </si>
  <si>
    <t>Post_Q3.3</t>
  </si>
  <si>
    <t>Post_Q3.4</t>
  </si>
  <si>
    <t>Post_Q3.5</t>
  </si>
  <si>
    <t>Post_Q3.6</t>
  </si>
  <si>
    <t>Transfer_Q3.1</t>
  </si>
  <si>
    <t>Transfer_Q3.2</t>
  </si>
  <si>
    <t>Transfer_Q3.3</t>
  </si>
  <si>
    <t>Transfer_Q3.4</t>
  </si>
  <si>
    <t>Transfer_Q3.5</t>
  </si>
  <si>
    <t>Transfer_Q3.6</t>
  </si>
  <si>
    <t>Class</t>
  </si>
  <si>
    <t xml:space="preserve">Probably had more time during the transfer test, since they started writing all modulo calculations. While the grade might improve, their knowledge did not. </t>
  </si>
  <si>
    <t>Has written down that the AI tutor did not go over making own for loops and that they only know how a for loop works with numbers. They scored low on question 2 in the pre-test/post-test because this was with letters.</t>
  </si>
  <si>
    <t>No</t>
  </si>
  <si>
    <t>Had a lot more programming knowledge in the transfer test compared to the post test</t>
  </si>
  <si>
    <t>Student scored a little bit higher on the transfer test because they used the range function, which is given in question 2 of the transfer test, but not in question 2 in the pre-test or post-test.</t>
  </si>
  <si>
    <t>Averages</t>
  </si>
  <si>
    <t>Yes</t>
  </si>
  <si>
    <t>Did not attempt q3 of transfer test</t>
  </si>
  <si>
    <t>General_comments</t>
  </si>
  <si>
    <t>Rijlabels</t>
  </si>
  <si>
    <t>Eindtotaal</t>
  </si>
  <si>
    <t>Gemiddelde van Pre_Total</t>
  </si>
  <si>
    <t>Gemiddelde van Post_Total</t>
  </si>
  <si>
    <t>Gemiddelde van Transfer_Total</t>
  </si>
  <si>
    <t>Gemiddelde van Gain_Pre_Post</t>
  </si>
  <si>
    <t>Gemiddelde van Gain_Post_Transfer</t>
  </si>
  <si>
    <t>Gemiddelde van Gain_Pre_Transfer</t>
  </si>
  <si>
    <t>Gemiddelde van Pre_Q1</t>
  </si>
  <si>
    <t>Gemiddelde van Post_Q1</t>
  </si>
  <si>
    <t>Pre_Q2_Grade</t>
  </si>
  <si>
    <t>Post_Q2_Grade</t>
  </si>
  <si>
    <t>Pre_Q3_Grade</t>
  </si>
  <si>
    <t>Post_Q3_Grade</t>
  </si>
  <si>
    <t>Transfer_Q2_Grade</t>
  </si>
  <si>
    <t>Gemiddelde van Pre_Q2_Grade</t>
  </si>
  <si>
    <t>Gemiddelde van Pre_Q3_Grade</t>
  </si>
  <si>
    <t>Gemiddelde van Post_Q2_Grade</t>
  </si>
  <si>
    <t>Gemiddelde van Post_Q3_Grade</t>
  </si>
  <si>
    <t>Transfer_Q3_Grade</t>
  </si>
  <si>
    <t>Gemiddelde van Transfer_Q1</t>
  </si>
  <si>
    <t>Gemiddelde van Transfer_Q2_Grade</t>
  </si>
  <si>
    <t>Gemiddelde van Transfer_Q3_Grade</t>
  </si>
  <si>
    <t>Group effects on pre-test grades (? out of 10)</t>
  </si>
  <si>
    <t>Group effects on post-test grades (? out of 10)</t>
  </si>
  <si>
    <t>Group effects on transfer-test grades (? out of 10)</t>
  </si>
  <si>
    <t>Group effects on total scores (? out of 100)</t>
  </si>
  <si>
    <t>Pre-test</t>
  </si>
  <si>
    <t>Post-test</t>
  </si>
  <si>
    <t>Transfer-test</t>
  </si>
  <si>
    <t>Gain Pre-Post</t>
  </si>
  <si>
    <t>Gain Post-Transfer</t>
  </si>
  <si>
    <t>Gain Pre-Transfer</t>
  </si>
  <si>
    <t>Aantal van Condition</t>
  </si>
  <si>
    <t>Scored higher in the pre test compared to the post test, mainly due to q2</t>
  </si>
  <si>
    <t>Dit not attempt q3 of post test</t>
  </si>
  <si>
    <t>Was bad at programming during the post test, but had a perfect score on q3 in transfer test</t>
  </si>
  <si>
    <t>Was originally in group B,  but because Copilot had issues the student was switched to group C. The teacher gave this student a yellow card during the research process, so they stopped halfway.</t>
  </si>
  <si>
    <t>Didn't write anything in question 3 of the post test, but did complete question 3 of the transfer test.</t>
  </si>
  <si>
    <t>Had a lot more programming knowledge in the transfer test compared to the post test. Also scored higher in pre test compared to post test.</t>
  </si>
  <si>
    <t>Did not write anything in the transfer test, because the student had to leave mid experiment.</t>
  </si>
  <si>
    <t>Q1</t>
  </si>
  <si>
    <t>Q2</t>
  </si>
  <si>
    <t>Q3</t>
  </si>
  <si>
    <t>Gains</t>
  </si>
  <si>
    <t>Scores</t>
  </si>
  <si>
    <t>Was originally in group A, but because Copilot had issues the student was immediately switched to group C</t>
  </si>
  <si>
    <t>Was originally in group B,  but because Copilot had issues the student was switched to group C. Since the switch happened halfway through the learning phase, the results are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</si>
</sst>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8"/>
      <name val="Carlito"/>
    </font>
    <font>
      <b/>
      <sz val="11"/>
      <color theme="5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0" fillId="3" borderId="0" xfId="0" applyFill="1"/>
    <xf numFmtId="0" fontId="0" fillId="3" borderId="0" xfId="0" applyFill="1" applyAlignment="1">
      <alignment horizontal="right" wrapText="1"/>
    </xf>
    <xf numFmtId="164" fontId="0" fillId="3" borderId="0" xfId="0" applyNumberFormat="1" applyFill="1" applyAlignment="1">
      <alignment wrapText="1"/>
    </xf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4" fillId="0" borderId="0" xfId="0" applyFont="1"/>
    <xf numFmtId="0" fontId="0" fillId="4" borderId="0" xfId="0" applyFill="1"/>
    <xf numFmtId="0" fontId="0" fillId="5" borderId="0" xfId="0" applyFill="1"/>
    <xf numFmtId="0" fontId="2" fillId="0" borderId="0" xfId="0" applyFont="1"/>
  </cellXfs>
  <cellStyles count="1">
    <cellStyle name="Standaard" xfId="0" builtinId="0"/>
  </cellStyles>
  <dxfs count="17"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0.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0.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0.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right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Total scores over time per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'Tables and Graphs'!$B$40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'Tables and Graphs'!$A$41:$A$43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Graphs'!$B$41:$B$43</c:f>
              <c:numCache>
                <c:formatCode>General</c:formatCode>
                <c:ptCount val="3"/>
                <c:pt idx="0">
                  <c:v>19.25</c:v>
                </c:pt>
                <c:pt idx="1">
                  <c:v>48.6</c:v>
                </c:pt>
                <c:pt idx="2">
                  <c:v>39.200000000000003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2-41C5-BCA9-8CAA2F432AF1}"/>
            </c:ext>
          </c:extLst>
        </c:ser>
        <c:ser>
          <c:idx val="1"/>
          <c:order val="1"/>
          <c:tx>
            <c:strRef>
              <c:f>'Tables and Graphs'!$C$40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'Tables and Graphs'!$A$41:$A$43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Graphs'!$C$41:$C$43</c:f>
              <c:numCache>
                <c:formatCode>General</c:formatCode>
                <c:ptCount val="3"/>
                <c:pt idx="0">
                  <c:v>26.684210526315791</c:v>
                </c:pt>
                <c:pt idx="1">
                  <c:v>40.736842105263158</c:v>
                </c:pt>
                <c:pt idx="2">
                  <c:v>45.10526315789474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22-41C5-BCA9-8CAA2F432AF1}"/>
            </c:ext>
          </c:extLst>
        </c:ser>
        <c:ser>
          <c:idx val="2"/>
          <c:order val="2"/>
          <c:tx>
            <c:strRef>
              <c:f>'Tables and Graphs'!$D$40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'Tables and Graphs'!$A$41:$A$43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Graphs'!$D$41:$D$43</c:f>
              <c:numCache>
                <c:formatCode>General</c:formatCode>
                <c:ptCount val="3"/>
                <c:pt idx="0">
                  <c:v>24.545454545454547</c:v>
                </c:pt>
                <c:pt idx="1">
                  <c:v>46.590909090909093</c:v>
                </c:pt>
                <c:pt idx="2">
                  <c:v>38.636363636363633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22-41C5-BCA9-8CAA2F432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04239"/>
        <c:axId val="100002319"/>
      </c:lineChart>
      <c:catAx>
        <c:axId val="10000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002319"/>
        <c:crosses val="autoZero"/>
        <c:auto val="1"/>
        <c:lblAlgn val="ctr"/>
        <c:lblOffset val="100"/>
        <c:noMultiLvlLbl val="0"/>
      </c:catAx>
      <c:valAx>
        <c:axId val="10000231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Total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00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Score gains per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'Tables and Graphs'!$A$46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'Tables and Graphs'!$B$45:$D$45</c:f>
              <c:strCache>
                <c:ptCount val="3"/>
                <c:pt idx="0">
                  <c:v>Gain Pre-Post</c:v>
                </c:pt>
                <c:pt idx="1">
                  <c:v>Gain Post-Transfer</c:v>
                </c:pt>
                <c:pt idx="2">
                  <c:v>Gain Pre-Transfer</c:v>
                </c:pt>
              </c:strCache>
            </c:strRef>
          </c:cat>
          <c:val>
            <c:numRef>
              <c:f>'Tables and Graphs'!$B$46:$D$46</c:f>
              <c:numCache>
                <c:formatCode>0.00</c:formatCode>
                <c:ptCount val="3"/>
                <c:pt idx="0">
                  <c:v>29.35</c:v>
                </c:pt>
                <c:pt idx="1">
                  <c:v>-9.4</c:v>
                </c:pt>
                <c:pt idx="2">
                  <c:v>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7-4B8D-A51C-8B8D42873841}"/>
            </c:ext>
          </c:extLst>
        </c:ser>
        <c:ser>
          <c:idx val="1"/>
          <c:order val="1"/>
          <c:tx>
            <c:strRef>
              <c:f>'Tables and Graphs'!$A$47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'Tables and Graphs'!$B$45:$D$45</c:f>
              <c:strCache>
                <c:ptCount val="3"/>
                <c:pt idx="0">
                  <c:v>Gain Pre-Post</c:v>
                </c:pt>
                <c:pt idx="1">
                  <c:v>Gain Post-Transfer</c:v>
                </c:pt>
                <c:pt idx="2">
                  <c:v>Gain Pre-Transfer</c:v>
                </c:pt>
              </c:strCache>
            </c:strRef>
          </c:cat>
          <c:val>
            <c:numRef>
              <c:f>'Tables and Graphs'!$B$47:$D$47</c:f>
              <c:numCache>
                <c:formatCode>0.00</c:formatCode>
                <c:ptCount val="3"/>
                <c:pt idx="0">
                  <c:v>14.052631578947368</c:v>
                </c:pt>
                <c:pt idx="1">
                  <c:v>4.3684210526315788</c:v>
                </c:pt>
                <c:pt idx="2">
                  <c:v>18.421052631578949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7-4B8D-A51C-8B8D42873841}"/>
            </c:ext>
          </c:extLst>
        </c:ser>
        <c:ser>
          <c:idx val="2"/>
          <c:order val="2"/>
          <c:tx>
            <c:strRef>
              <c:f>'Tables and Graphs'!$A$48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'Tables and Graphs'!$B$45:$D$45</c:f>
              <c:strCache>
                <c:ptCount val="3"/>
                <c:pt idx="0">
                  <c:v>Gain Pre-Post</c:v>
                </c:pt>
                <c:pt idx="1">
                  <c:v>Gain Post-Transfer</c:v>
                </c:pt>
                <c:pt idx="2">
                  <c:v>Gain Pre-Transfer</c:v>
                </c:pt>
              </c:strCache>
            </c:strRef>
          </c:cat>
          <c:val>
            <c:numRef>
              <c:f>'Tables and Graphs'!$B$48:$D$48</c:f>
              <c:numCache>
                <c:formatCode>0.00</c:formatCode>
                <c:ptCount val="3"/>
                <c:pt idx="0">
                  <c:v>22.045454545454547</c:v>
                </c:pt>
                <c:pt idx="1">
                  <c:v>-7.9545454545454541</c:v>
                </c:pt>
                <c:pt idx="2">
                  <c:v>14.090909090909092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27-4B8D-A51C-8B8D428738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2433440"/>
        <c:axId val="742430080"/>
      </c:barChart>
      <c:catAx>
        <c:axId val="7424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2430080"/>
        <c:crosses val="autoZero"/>
        <c:auto val="1"/>
        <c:lblAlgn val="ctr"/>
        <c:lblOffset val="100"/>
        <c:noMultiLvlLbl val="0"/>
      </c:catAx>
      <c:valAx>
        <c:axId val="74243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Gain in total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243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Q1 score over time per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'Tables and Graphs'!$B$50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'Tables and Graphs'!$A$51:$A$53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Graphs'!$B$51:$B$53</c:f>
              <c:numCache>
                <c:formatCode>General</c:formatCode>
                <c:ptCount val="3"/>
                <c:pt idx="0">
                  <c:v>7</c:v>
                </c:pt>
                <c:pt idx="1">
                  <c:v>7.5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D-41F7-9A23-A4DE04FF6F48}"/>
            </c:ext>
          </c:extLst>
        </c:ser>
        <c:ser>
          <c:idx val="1"/>
          <c:order val="1"/>
          <c:tx>
            <c:strRef>
              <c:f>'Tables and Graphs'!$C$50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'Tables and Graphs'!$A$51:$A$53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Graphs'!$C$51:$C$53</c:f>
              <c:numCache>
                <c:formatCode>General</c:formatCode>
                <c:ptCount val="3"/>
                <c:pt idx="0">
                  <c:v>7.8947368421052628</c:v>
                </c:pt>
                <c:pt idx="1">
                  <c:v>10</c:v>
                </c:pt>
                <c:pt idx="2">
                  <c:v>6.3157894736842106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D-41F7-9A23-A4DE04FF6F48}"/>
            </c:ext>
          </c:extLst>
        </c:ser>
        <c:ser>
          <c:idx val="2"/>
          <c:order val="2"/>
          <c:tx>
            <c:strRef>
              <c:f>'Tables and Graphs'!$D$50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'Tables and Graphs'!$A$51:$A$53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Graphs'!$D$51:$D$53</c:f>
              <c:numCache>
                <c:formatCode>General</c:formatCode>
                <c:ptCount val="3"/>
                <c:pt idx="0">
                  <c:v>5.9090909090909092</c:v>
                </c:pt>
                <c:pt idx="1">
                  <c:v>8.1818181818181817</c:v>
                </c:pt>
                <c:pt idx="2">
                  <c:v>4.0909090909090908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DD-41F7-9A23-A4DE04FF6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546095"/>
        <c:axId val="1992548975"/>
      </c:lineChart>
      <c:catAx>
        <c:axId val="199254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92548975"/>
        <c:crosses val="autoZero"/>
        <c:auto val="1"/>
        <c:lblAlgn val="ctr"/>
        <c:lblOffset val="100"/>
        <c:noMultiLvlLbl val="0"/>
      </c:catAx>
      <c:valAx>
        <c:axId val="1992548975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9254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Q2 score</a:t>
            </a:r>
            <a:r>
              <a:rPr lang="nl-NL" baseline="0"/>
              <a:t> over time per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'Tables and Graphs'!$B$55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'Tables and Graphs'!$A$56:$A$58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Graphs'!$B$56:$B$58</c:f>
              <c:numCache>
                <c:formatCode>General</c:formatCode>
                <c:ptCount val="3"/>
                <c:pt idx="0">
                  <c:v>0.91666666666666663</c:v>
                </c:pt>
                <c:pt idx="1">
                  <c:v>6.916666666666667</c:v>
                </c:pt>
                <c:pt idx="2">
                  <c:v>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10-4049-958F-1F9F232C917A}"/>
            </c:ext>
          </c:extLst>
        </c:ser>
        <c:ser>
          <c:idx val="1"/>
          <c:order val="1"/>
          <c:tx>
            <c:strRef>
              <c:f>'Tables and Graphs'!$C$55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'Tables and Graphs'!$A$56:$A$58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Graphs'!$C$56:$C$58</c:f>
              <c:numCache>
                <c:formatCode>General</c:formatCode>
                <c:ptCount val="3"/>
                <c:pt idx="0">
                  <c:v>2.9824561403508767</c:v>
                </c:pt>
                <c:pt idx="1">
                  <c:v>5.1754385964912277</c:v>
                </c:pt>
                <c:pt idx="2">
                  <c:v>6.5789473684210522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10-4049-958F-1F9F232C917A}"/>
            </c:ext>
          </c:extLst>
        </c:ser>
        <c:ser>
          <c:idx val="2"/>
          <c:order val="2"/>
          <c:tx>
            <c:strRef>
              <c:f>'Tables and Graphs'!$D$55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'Tables and Graphs'!$A$56:$A$58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Graphs'!$D$56:$D$58</c:f>
              <c:numCache>
                <c:formatCode>General</c:formatCode>
                <c:ptCount val="3"/>
                <c:pt idx="0">
                  <c:v>2.8030303030303023</c:v>
                </c:pt>
                <c:pt idx="1">
                  <c:v>6.4393939393939386</c:v>
                </c:pt>
                <c:pt idx="2">
                  <c:v>4.9242424242424239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10-4049-958F-1F9F232C9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551855"/>
        <c:axId val="1992545135"/>
      </c:lineChart>
      <c:catAx>
        <c:axId val="199255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92545135"/>
        <c:crosses val="autoZero"/>
        <c:auto val="1"/>
        <c:lblAlgn val="ctr"/>
        <c:lblOffset val="100"/>
        <c:noMultiLvlLbl val="0"/>
      </c:catAx>
      <c:valAx>
        <c:axId val="1992545135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9255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Q3 score over time per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'Tables and Graphs'!$B$60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'Tables and Graphs'!$A$61:$A$63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Graphs'!$B$61:$B$63</c:f>
              <c:numCache>
                <c:formatCode>General</c:formatCode>
                <c:ptCount val="3"/>
                <c:pt idx="0">
                  <c:v>1.5833333333333335</c:v>
                </c:pt>
                <c:pt idx="1">
                  <c:v>3.3916666666666666</c:v>
                </c:pt>
                <c:pt idx="2">
                  <c:v>2.8250000000000002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3-4555-8802-953DE67B6BCC}"/>
            </c:ext>
          </c:extLst>
        </c:ser>
        <c:ser>
          <c:idx val="1"/>
          <c:order val="1"/>
          <c:tx>
            <c:strRef>
              <c:f>'Tables and Graphs'!$C$60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'Tables and Graphs'!$A$61:$A$63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Graphs'!$C$61:$C$63</c:f>
              <c:numCache>
                <c:formatCode>General</c:formatCode>
                <c:ptCount val="3"/>
                <c:pt idx="0">
                  <c:v>1.6403508771929822</c:v>
                </c:pt>
                <c:pt idx="1">
                  <c:v>2.5350877192982453</c:v>
                </c:pt>
                <c:pt idx="2">
                  <c:v>3.1754385964912282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43-4555-8802-953DE67B6BCC}"/>
            </c:ext>
          </c:extLst>
        </c:ser>
        <c:ser>
          <c:idx val="2"/>
          <c:order val="2"/>
          <c:tx>
            <c:strRef>
              <c:f>'Tables and Graphs'!$D$60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'Tables and Graphs'!$A$61:$A$63</c:f>
              <c:strCache>
                <c:ptCount val="3"/>
                <c:pt idx="0">
                  <c:v>Pre-test</c:v>
                </c:pt>
                <c:pt idx="1">
                  <c:v>Post-test</c:v>
                </c:pt>
                <c:pt idx="2">
                  <c:v>Transfer-test</c:v>
                </c:pt>
              </c:strCache>
            </c:strRef>
          </c:cat>
          <c:val>
            <c:numRef>
              <c:f>'Tables and Graphs'!$D$61:$D$63</c:f>
              <c:numCache>
                <c:formatCode>General</c:formatCode>
                <c:ptCount val="3"/>
                <c:pt idx="0">
                  <c:v>1.7045454545454546</c:v>
                </c:pt>
                <c:pt idx="1">
                  <c:v>3.1818181818181817</c:v>
                </c:pt>
                <c:pt idx="2">
                  <c:v>3.2954545454545463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43-4555-8802-953DE67B6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784000"/>
        <c:axId val="310781120"/>
      </c:lineChart>
      <c:catAx>
        <c:axId val="3107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10781120"/>
        <c:crosses val="autoZero"/>
        <c:auto val="1"/>
        <c:lblAlgn val="ctr"/>
        <c:lblOffset val="100"/>
        <c:noMultiLvlLbl val="0"/>
      </c:catAx>
      <c:valAx>
        <c:axId val="31078112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1078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719136</xdr:colOff>
      <xdr:row>10</xdr:row>
      <xdr:rowOff>9525</xdr:rowOff>
    </xdr:from>
    <xdr:to>
      <xdr:col>6</xdr:col>
      <xdr:colOff>1704974</xdr:colOff>
      <xdr:row>35</xdr:row>
      <xdr:rowOff>142875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E5A9391A-AD06-2AEF-9C74-40ECC35CF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1966911</xdr:colOff>
      <xdr:row>9</xdr:row>
      <xdr:rowOff>171449</xdr:rowOff>
    </xdr:from>
    <xdr:to>
      <xdr:col>11</xdr:col>
      <xdr:colOff>66674</xdr:colOff>
      <xdr:row>35</xdr:row>
      <xdr:rowOff>161925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71EAC900-C70F-5B63-34BA-551BEF36A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481011</xdr:colOff>
      <xdr:row>37</xdr:row>
      <xdr:rowOff>171449</xdr:rowOff>
    </xdr:from>
    <xdr:to>
      <xdr:col>6</xdr:col>
      <xdr:colOff>1028699</xdr:colOff>
      <xdr:row>58</xdr:row>
      <xdr:rowOff>57149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E5C4F6BA-6F7E-B650-AE44-7E52ACD82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1366836</xdr:colOff>
      <xdr:row>38</xdr:row>
      <xdr:rowOff>0</xdr:rowOff>
    </xdr:from>
    <xdr:to>
      <xdr:col>9</xdr:col>
      <xdr:colOff>590549</xdr:colOff>
      <xdr:row>58</xdr:row>
      <xdr:rowOff>57150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B7E36AF1-2B72-4575-362B-8574386A3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1847850</xdr:colOff>
      <xdr:row>59</xdr:row>
      <xdr:rowOff>28574</xdr:rowOff>
    </xdr:from>
    <xdr:to>
      <xdr:col>7</xdr:col>
      <xdr:colOff>1147762</xdr:colOff>
      <xdr:row>90</xdr:row>
      <xdr:rowOff>19050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9A73E334-A305-90F7-9FEB-E8A382F65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ra Verbruggen" refreshedDate="46169.681479976854" createdVersion="8" refreshedVersion="8" minRefreshableVersion="3" recordCount="65" xr:uid="{428C86BD-0A29-4E65-94A8-887C73089451}">
  <cacheSource type="worksheet">
    <worksheetSource name="ScoresTable"/>
  </cacheSource>
  <cacheFields count="41">
    <cacheField name="Participant_ID" numFmtId="0">
      <sharedItems containsMixedTypes="1" containsNumber="1" containsInteger="1" minValue="1" maxValue="64"/>
    </cacheField>
    <cacheField name="Condition" numFmtId="0">
      <sharedItems containsBlank="1" count="4">
        <s v="A"/>
        <s v="B"/>
        <s v="C"/>
        <m/>
      </sharedItems>
    </cacheField>
    <cacheField name="Class" numFmtId="0">
      <sharedItems containsString="0" containsBlank="1" containsNumber="1" containsInteger="1" minValue="1" maxValue="3"/>
    </cacheField>
    <cacheField name="General_comments" numFmtId="0">
      <sharedItems containsBlank="1"/>
    </cacheField>
    <cacheField name="Pre_Q1" numFmtId="0">
      <sharedItems containsSemiMixedTypes="0" containsString="0" containsNumber="1" minValue="0" maxValue="10"/>
    </cacheField>
    <cacheField name="Pre_Q2" numFmtId="0">
      <sharedItems containsSemiMixedTypes="0" containsString="0" containsNumber="1" minValue="0" maxValue="30"/>
    </cacheField>
    <cacheField name="Pre_Q2_Grade" numFmtId="164">
      <sharedItems containsSemiMixedTypes="0" containsString="0" containsNumber="1" minValue="0" maxValue="10"/>
    </cacheField>
    <cacheField name="Pre_Q3.1" numFmtId="0">
      <sharedItems containsSemiMixedTypes="0" containsString="0" containsNumber="1" minValue="0" maxValue="10"/>
    </cacheField>
    <cacheField name="Pre_Q3.2" numFmtId="0">
      <sharedItems containsSemiMixedTypes="0" containsString="0" containsNumber="1" minValue="0" maxValue="3"/>
    </cacheField>
    <cacheField name="Pre_Q3.3" numFmtId="0">
      <sharedItems containsSemiMixedTypes="0" containsString="0" containsNumber="1" minValue="0" maxValue="5"/>
    </cacheField>
    <cacheField name="Pre_Q3.4" numFmtId="0">
      <sharedItems containsSemiMixedTypes="0" containsString="0" containsNumber="1" minValue="0" maxValue="5"/>
    </cacheField>
    <cacheField name="Pre_Q3.5" numFmtId="0">
      <sharedItems containsSemiMixedTypes="0" containsString="0" containsNumber="1" minValue="0" maxValue="10"/>
    </cacheField>
    <cacheField name="Pre_Q3.6" numFmtId="0">
      <sharedItems containsSemiMixedTypes="0" containsString="0" containsNumber="1" minValue="0" maxValue="8"/>
    </cacheField>
    <cacheField name="Pre_Q3_Grade" numFmtId="164">
      <sharedItems containsSemiMixedTypes="0" containsString="0" containsNumber="1" minValue="0" maxValue="5.5"/>
    </cacheField>
    <cacheField name="Pre_Total" numFmtId="0">
      <sharedItems containsSemiMixedTypes="0" containsString="0" containsNumber="1" minValue="0" maxValue="63"/>
    </cacheField>
    <cacheField name="Post_Q1" numFmtId="0">
      <sharedItems containsSemiMixedTypes="0" containsString="0" containsNumber="1" minValue="0" maxValue="10"/>
    </cacheField>
    <cacheField name="Post_Q2" numFmtId="0">
      <sharedItems containsSemiMixedTypes="0" containsString="0" containsNumber="1" minValue="0" maxValue="30"/>
    </cacheField>
    <cacheField name="Post_Q2_Grade" numFmtId="164">
      <sharedItems containsSemiMixedTypes="0" containsString="0" containsNumber="1" minValue="0" maxValue="10"/>
    </cacheField>
    <cacheField name="Post_Q3.1" numFmtId="0">
      <sharedItems containsSemiMixedTypes="0" containsString="0" containsNumber="1" minValue="0" maxValue="10"/>
    </cacheField>
    <cacheField name="Post_Q3.2" numFmtId="0">
      <sharedItems containsSemiMixedTypes="0" containsString="0" containsNumber="1" minValue="0" maxValue="10"/>
    </cacheField>
    <cacheField name="Post_Q3.3" numFmtId="0">
      <sharedItems containsSemiMixedTypes="0" containsString="0" containsNumber="1" minValue="0" maxValue="10"/>
    </cacheField>
    <cacheField name="Post_Q3.4" numFmtId="0">
      <sharedItems containsSemiMixedTypes="0" containsString="0" containsNumber="1" minValue="0" maxValue="10"/>
    </cacheField>
    <cacheField name="Post_Q3.5" numFmtId="0">
      <sharedItems containsSemiMixedTypes="0" containsString="0" containsNumber="1" minValue="0" maxValue="10"/>
    </cacheField>
    <cacheField name="Post_Q3.6" numFmtId="0">
      <sharedItems containsSemiMixedTypes="0" containsString="0" containsNumber="1" minValue="0" maxValue="8"/>
    </cacheField>
    <cacheField name="Post_Q3_Grade" numFmtId="164">
      <sharedItems containsSemiMixedTypes="0" containsString="0" containsNumber="1" minValue="0" maxValue="8.8333333333333321"/>
    </cacheField>
    <cacheField name="Post_Total" numFmtId="0">
      <sharedItems containsSemiMixedTypes="0" containsString="0" containsNumber="1" minValue="0" maxValue="83"/>
    </cacheField>
    <cacheField name="Transfer_Q1" numFmtId="0">
      <sharedItems containsSemiMixedTypes="0" containsString="0" containsNumber="1" containsInteger="1" minValue="0" maxValue="10"/>
    </cacheField>
    <cacheField name="Transfer_Q2" numFmtId="0">
      <sharedItems containsSemiMixedTypes="0" containsString="0" containsNumber="1" minValue="0" maxValue="30"/>
    </cacheField>
    <cacheField name="Transfer_Q2_Grade" numFmtId="164">
      <sharedItems containsSemiMixedTypes="0" containsString="0" containsNumber="1" minValue="0" maxValue="10"/>
    </cacheField>
    <cacheField name="Transfer_Q3.1" numFmtId="0">
      <sharedItems containsSemiMixedTypes="0" containsString="0" containsNumber="1" minValue="0" maxValue="10"/>
    </cacheField>
    <cacheField name="Transfer_Q3.2" numFmtId="0">
      <sharedItems containsSemiMixedTypes="0" containsString="0" containsNumber="1" minValue="0" maxValue="10"/>
    </cacheField>
    <cacheField name="Transfer_Q3.3" numFmtId="0">
      <sharedItems containsSemiMixedTypes="0" containsString="0" containsNumber="1" minValue="0" maxValue="10"/>
    </cacheField>
    <cacheField name="Transfer_Q3.4" numFmtId="0">
      <sharedItems containsSemiMixedTypes="0" containsString="0" containsNumber="1" minValue="0" maxValue="10"/>
    </cacheField>
    <cacheField name="Transfer_Q3.5" numFmtId="0">
      <sharedItems containsSemiMixedTypes="0" containsString="0" containsNumber="1" minValue="0" maxValue="10"/>
    </cacheField>
    <cacheField name="Transfer_Q3.6" numFmtId="0">
      <sharedItems containsSemiMixedTypes="0" containsString="0" containsNumber="1" minValue="0" maxValue="10"/>
    </cacheField>
    <cacheField name="Transfer_Q3_Grade" numFmtId="164">
      <sharedItems containsSemiMixedTypes="0" containsString="0" containsNumber="1" minValue="0" maxValue="10"/>
    </cacheField>
    <cacheField name="Transfer_Total" numFmtId="0">
      <sharedItems containsSemiMixedTypes="0" containsString="0" containsNumber="1" minValue="0" maxValue="98"/>
    </cacheField>
    <cacheField name="Gain_Pre_Post" numFmtId="0">
      <sharedItems containsSemiMixedTypes="0" containsString="0" containsNumber="1" minValue="-36" maxValue="68"/>
    </cacheField>
    <cacheField name="Gain_Post_Transfer" numFmtId="0">
      <sharedItems containsSemiMixedTypes="0" containsString="0" containsNumber="1" minValue="-51" maxValue="41"/>
    </cacheField>
    <cacheField name="Gain_Pre_Transfer" numFmtId="0">
      <sharedItems containsSemiMixedTypes="0" containsString="0" containsNumber="1" minValue="-51" maxValue="73"/>
    </cacheField>
    <cacheField name="Exclude?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1"/>
    <x v="0"/>
    <n v="1"/>
    <m/>
    <n v="10"/>
    <n v="0"/>
    <n v="0"/>
    <n v="0"/>
    <n v="0"/>
    <n v="0"/>
    <n v="0"/>
    <n v="0"/>
    <n v="0"/>
    <n v="0"/>
    <n v="10"/>
    <n v="10"/>
    <n v="30"/>
    <n v="10"/>
    <n v="0"/>
    <n v="10"/>
    <n v="10"/>
    <n v="5"/>
    <n v="5"/>
    <n v="8"/>
    <n v="6.333333333333333"/>
    <n v="78"/>
    <n v="10"/>
    <n v="30"/>
    <n v="10"/>
    <n v="0"/>
    <n v="10"/>
    <n v="10"/>
    <n v="5"/>
    <n v="5"/>
    <n v="8"/>
    <n v="6.333333333333333"/>
    <n v="78"/>
    <n v="68"/>
    <n v="0"/>
    <n v="68"/>
    <x v="0"/>
  </r>
  <r>
    <n v="2"/>
    <x v="1"/>
    <n v="1"/>
    <m/>
    <n v="10"/>
    <n v="0"/>
    <n v="0"/>
    <n v="0"/>
    <n v="3"/>
    <n v="0"/>
    <n v="0"/>
    <n v="10"/>
    <n v="5"/>
    <n v="3"/>
    <n v="28"/>
    <n v="10"/>
    <n v="30"/>
    <n v="10"/>
    <n v="10"/>
    <n v="10"/>
    <n v="5"/>
    <n v="5"/>
    <n v="5"/>
    <n v="8"/>
    <n v="7.166666666666667"/>
    <n v="83"/>
    <n v="10"/>
    <n v="20"/>
    <n v="6.6666666666666661"/>
    <n v="10"/>
    <n v="10"/>
    <n v="10"/>
    <n v="5"/>
    <n v="5"/>
    <n v="8"/>
    <n v="8"/>
    <n v="78"/>
    <n v="55"/>
    <n v="-5"/>
    <n v="50"/>
    <x v="0"/>
  </r>
  <r>
    <n v="3"/>
    <x v="2"/>
    <n v="1"/>
    <m/>
    <n v="10"/>
    <n v="0"/>
    <n v="0"/>
    <n v="0"/>
    <n v="0"/>
    <n v="0"/>
    <n v="0"/>
    <n v="0"/>
    <n v="0"/>
    <n v="0"/>
    <n v="10"/>
    <n v="10"/>
    <n v="20"/>
    <n v="6.6666666666666661"/>
    <n v="0"/>
    <n v="0"/>
    <n v="3"/>
    <n v="0"/>
    <n v="0"/>
    <n v="0"/>
    <n v="0.5"/>
    <n v="33"/>
    <n v="0"/>
    <n v="20"/>
    <n v="6.6666666666666661"/>
    <n v="0"/>
    <n v="0"/>
    <n v="0"/>
    <n v="0"/>
    <n v="0"/>
    <n v="0"/>
    <n v="0"/>
    <n v="20"/>
    <n v="23"/>
    <n v="-13"/>
    <n v="10"/>
    <x v="0"/>
  </r>
  <r>
    <n v="4"/>
    <x v="0"/>
    <n v="1"/>
    <m/>
    <n v="10"/>
    <n v="0"/>
    <n v="0"/>
    <n v="5"/>
    <n v="3"/>
    <n v="5"/>
    <n v="5"/>
    <n v="5"/>
    <n v="8"/>
    <n v="5.166666666666667"/>
    <n v="41"/>
    <n v="10"/>
    <n v="30"/>
    <n v="10"/>
    <n v="5"/>
    <n v="3"/>
    <n v="5"/>
    <n v="5"/>
    <n v="5"/>
    <n v="8"/>
    <n v="5.166666666666667"/>
    <n v="71"/>
    <n v="0"/>
    <n v="30"/>
    <n v="10"/>
    <n v="0"/>
    <n v="5"/>
    <n v="10"/>
    <n v="0"/>
    <n v="5"/>
    <n v="8"/>
    <n v="4.666666666666667"/>
    <n v="58"/>
    <n v="30"/>
    <n v="-13"/>
    <n v="17"/>
    <x v="0"/>
  </r>
  <r>
    <n v="5"/>
    <x v="1"/>
    <n v="1"/>
    <s v="Didn't write anything in question 3 of the post test, but did complete question 3 of the transfer test."/>
    <n v="0"/>
    <n v="0"/>
    <n v="0"/>
    <n v="0"/>
    <n v="0"/>
    <n v="0"/>
    <n v="0"/>
    <n v="0"/>
    <n v="0"/>
    <n v="0"/>
    <n v="0"/>
    <n v="10"/>
    <n v="30"/>
    <n v="10"/>
    <n v="0"/>
    <n v="0"/>
    <n v="0"/>
    <n v="0"/>
    <n v="0"/>
    <n v="0"/>
    <n v="0"/>
    <n v="40"/>
    <n v="0"/>
    <n v="30"/>
    <n v="10"/>
    <n v="5"/>
    <n v="5"/>
    <n v="10"/>
    <n v="5"/>
    <n v="10"/>
    <n v="8"/>
    <n v="7.166666666666667"/>
    <n v="73"/>
    <n v="40"/>
    <n v="33"/>
    <n v="73"/>
    <x v="0"/>
  </r>
  <r>
    <n v="6"/>
    <x v="2"/>
    <n v="1"/>
    <m/>
    <n v="0"/>
    <n v="0"/>
    <n v="0"/>
    <n v="0"/>
    <n v="0"/>
    <n v="0"/>
    <n v="0"/>
    <n v="0"/>
    <n v="0"/>
    <n v="0"/>
    <n v="0"/>
    <n v="10"/>
    <n v="30"/>
    <n v="10"/>
    <n v="0"/>
    <n v="0"/>
    <n v="0"/>
    <n v="0"/>
    <n v="0"/>
    <n v="0"/>
    <n v="0"/>
    <n v="40"/>
    <n v="0"/>
    <n v="30"/>
    <n v="10"/>
    <n v="0"/>
    <n v="0"/>
    <n v="0"/>
    <n v="0"/>
    <n v="0"/>
    <n v="0"/>
    <n v="0"/>
    <n v="30"/>
    <n v="40"/>
    <n v="-10"/>
    <n v="30"/>
    <x v="0"/>
  </r>
  <r>
    <n v="7"/>
    <x v="0"/>
    <n v="1"/>
    <m/>
    <n v="0"/>
    <n v="0"/>
    <n v="0"/>
    <n v="0"/>
    <n v="0"/>
    <n v="0"/>
    <n v="0"/>
    <n v="0"/>
    <n v="0"/>
    <n v="0"/>
    <n v="0"/>
    <n v="10"/>
    <n v="30"/>
    <n v="10"/>
    <n v="0"/>
    <n v="0"/>
    <n v="0"/>
    <n v="0"/>
    <n v="0"/>
    <n v="0"/>
    <n v="0"/>
    <n v="40"/>
    <n v="0"/>
    <n v="30"/>
    <n v="10"/>
    <n v="0"/>
    <n v="0"/>
    <n v="0"/>
    <n v="0"/>
    <n v="0"/>
    <n v="0"/>
    <n v="0"/>
    <n v="30"/>
    <n v="40"/>
    <n v="-10"/>
    <n v="30"/>
    <x v="0"/>
  </r>
  <r>
    <n v="8"/>
    <x v="1"/>
    <n v="1"/>
    <m/>
    <n v="10"/>
    <n v="20"/>
    <n v="6.6666666666666661"/>
    <n v="0"/>
    <n v="3"/>
    <n v="0"/>
    <n v="0"/>
    <n v="5"/>
    <n v="3"/>
    <n v="1.8333333333333333"/>
    <n v="41"/>
    <n v="10"/>
    <n v="20"/>
    <n v="6.6666666666666661"/>
    <n v="0"/>
    <n v="5"/>
    <n v="0"/>
    <n v="0"/>
    <n v="5"/>
    <n v="5"/>
    <n v="2.5"/>
    <n v="45"/>
    <n v="10"/>
    <n v="20"/>
    <n v="6.6666666666666661"/>
    <n v="0"/>
    <n v="5"/>
    <n v="10"/>
    <n v="5"/>
    <n v="5"/>
    <n v="5"/>
    <n v="5"/>
    <n v="60"/>
    <n v="4"/>
    <n v="15"/>
    <n v="19"/>
    <x v="0"/>
  </r>
  <r>
    <n v="9"/>
    <x v="2"/>
    <n v="1"/>
    <s v="Was bad at programming during the post test, but had a perfect score on q3 in transfer test"/>
    <n v="10"/>
    <n v="0"/>
    <n v="0"/>
    <n v="5"/>
    <n v="3"/>
    <n v="5"/>
    <n v="5"/>
    <n v="5"/>
    <n v="8"/>
    <n v="5.166666666666667"/>
    <n v="41"/>
    <n v="10"/>
    <n v="30"/>
    <n v="10"/>
    <n v="5"/>
    <n v="3"/>
    <n v="5"/>
    <n v="5"/>
    <n v="5"/>
    <n v="8"/>
    <n v="5.166666666666667"/>
    <n v="71"/>
    <n v="0"/>
    <n v="30"/>
    <n v="10"/>
    <n v="10"/>
    <n v="10"/>
    <n v="10"/>
    <n v="10"/>
    <n v="10"/>
    <n v="10"/>
    <n v="10"/>
    <n v="90"/>
    <n v="30"/>
    <n v="19"/>
    <n v="49"/>
    <x v="0"/>
  </r>
  <r>
    <n v="10"/>
    <x v="0"/>
    <n v="2"/>
    <m/>
    <n v="0"/>
    <n v="0"/>
    <n v="0"/>
    <n v="0"/>
    <n v="3"/>
    <n v="0"/>
    <n v="0"/>
    <n v="0"/>
    <n v="3"/>
    <n v="1"/>
    <n v="6"/>
    <n v="0"/>
    <n v="0"/>
    <n v="0"/>
    <n v="0"/>
    <n v="3"/>
    <n v="3"/>
    <n v="0"/>
    <n v="0"/>
    <n v="3"/>
    <n v="1.5"/>
    <n v="9"/>
    <n v="10"/>
    <n v="0"/>
    <n v="0"/>
    <n v="0"/>
    <n v="0"/>
    <n v="0"/>
    <n v="0"/>
    <n v="0"/>
    <n v="0"/>
    <n v="0"/>
    <n v="10"/>
    <n v="3"/>
    <n v="1"/>
    <n v="4"/>
    <x v="0"/>
  </r>
  <r>
    <n v="11"/>
    <x v="1"/>
    <n v="2"/>
    <m/>
    <n v="10"/>
    <n v="0"/>
    <n v="0"/>
    <n v="0"/>
    <n v="0"/>
    <n v="0"/>
    <n v="0"/>
    <n v="0"/>
    <n v="0"/>
    <n v="0"/>
    <n v="10"/>
    <n v="10"/>
    <n v="0"/>
    <n v="0"/>
    <n v="0"/>
    <n v="10"/>
    <n v="0"/>
    <n v="0"/>
    <n v="5"/>
    <n v="8"/>
    <n v="3.8333333333333335"/>
    <n v="33"/>
    <n v="10"/>
    <n v="0"/>
    <n v="0"/>
    <n v="0"/>
    <n v="0"/>
    <n v="0"/>
    <n v="0"/>
    <n v="0"/>
    <n v="0"/>
    <n v="0"/>
    <n v="10"/>
    <n v="23"/>
    <n v="-23"/>
    <n v="0"/>
    <x v="0"/>
  </r>
  <r>
    <n v="12"/>
    <x v="2"/>
    <n v="1"/>
    <m/>
    <n v="0"/>
    <n v="0"/>
    <n v="0"/>
    <n v="0"/>
    <n v="0"/>
    <n v="0"/>
    <n v="0"/>
    <n v="0"/>
    <n v="0"/>
    <n v="0"/>
    <n v="0"/>
    <n v="0"/>
    <n v="30"/>
    <n v="1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30"/>
    <n v="-30"/>
    <n v="0"/>
    <x v="0"/>
  </r>
  <r>
    <n v="13"/>
    <x v="0"/>
    <n v="1"/>
    <m/>
    <n v="10"/>
    <n v="0"/>
    <n v="0"/>
    <n v="0"/>
    <n v="0"/>
    <n v="0"/>
    <n v="0"/>
    <n v="0"/>
    <n v="0"/>
    <n v="0"/>
    <n v="10"/>
    <n v="10"/>
    <n v="20"/>
    <n v="6.6666666666666661"/>
    <n v="5"/>
    <n v="3"/>
    <n v="0"/>
    <n v="0"/>
    <n v="0"/>
    <n v="3"/>
    <n v="1.8333333333333333"/>
    <n v="41"/>
    <n v="0"/>
    <n v="30"/>
    <n v="10"/>
    <n v="0"/>
    <n v="0"/>
    <n v="0"/>
    <n v="0"/>
    <n v="0"/>
    <n v="0"/>
    <n v="0"/>
    <n v="30"/>
    <n v="31"/>
    <n v="-11"/>
    <n v="20"/>
    <x v="0"/>
  </r>
  <r>
    <n v="14"/>
    <x v="1"/>
    <n v="1"/>
    <s v="Probably had more time during the transfer test, since they started writing all modulo calculations. While the grade might improve, their knowledge did not. "/>
    <n v="10"/>
    <n v="0"/>
    <n v="0"/>
    <n v="0"/>
    <n v="0"/>
    <n v="0"/>
    <n v="0"/>
    <n v="0"/>
    <n v="0"/>
    <n v="0"/>
    <n v="10"/>
    <n v="10"/>
    <n v="0"/>
    <n v="0"/>
    <n v="0"/>
    <n v="3"/>
    <n v="0"/>
    <n v="0"/>
    <n v="0"/>
    <n v="3"/>
    <n v="1"/>
    <n v="16"/>
    <n v="0"/>
    <n v="20"/>
    <n v="6.6666666666666661"/>
    <n v="0"/>
    <n v="3"/>
    <n v="3"/>
    <n v="0"/>
    <n v="5"/>
    <n v="3"/>
    <n v="2.3333333333333335"/>
    <n v="34"/>
    <n v="6"/>
    <n v="18"/>
    <n v="24"/>
    <x v="0"/>
  </r>
  <r>
    <n v="15"/>
    <x v="2"/>
    <n v="1"/>
    <m/>
    <n v="10"/>
    <n v="0"/>
    <n v="0"/>
    <n v="0"/>
    <n v="0"/>
    <n v="0"/>
    <n v="0"/>
    <n v="0"/>
    <n v="0"/>
    <n v="0"/>
    <n v="10"/>
    <n v="10"/>
    <n v="30"/>
    <n v="10"/>
    <n v="5"/>
    <n v="5"/>
    <n v="0"/>
    <n v="5"/>
    <n v="5"/>
    <n v="5"/>
    <n v="4.166666666666667"/>
    <n v="65"/>
    <n v="10"/>
    <n v="30"/>
    <n v="10"/>
    <n v="0"/>
    <n v="10"/>
    <n v="5"/>
    <n v="5"/>
    <n v="5"/>
    <n v="5"/>
    <n v="5"/>
    <n v="70"/>
    <n v="55"/>
    <n v="5"/>
    <n v="60"/>
    <x v="0"/>
  </r>
  <r>
    <n v="16"/>
    <x v="0"/>
    <n v="1"/>
    <m/>
    <n v="10"/>
    <n v="0"/>
    <n v="0"/>
    <n v="5"/>
    <n v="3"/>
    <n v="0"/>
    <n v="0"/>
    <n v="5"/>
    <n v="5"/>
    <n v="3"/>
    <n v="28"/>
    <n v="10"/>
    <n v="10"/>
    <n v="3.333333333333333"/>
    <n v="0"/>
    <n v="10"/>
    <n v="5"/>
    <n v="0"/>
    <n v="5"/>
    <n v="5"/>
    <n v="4.166666666666667"/>
    <n v="45"/>
    <n v="10"/>
    <n v="30"/>
    <n v="10"/>
    <n v="0"/>
    <n v="10"/>
    <n v="5"/>
    <n v="5"/>
    <n v="5"/>
    <n v="5"/>
    <n v="5"/>
    <n v="70"/>
    <n v="17"/>
    <n v="25"/>
    <n v="42"/>
    <x v="0"/>
  </r>
  <r>
    <n v="17"/>
    <x v="1"/>
    <n v="1"/>
    <s v="Has written down that the AI tutor did not go over making own for loops and that they only know how a for loop works with numbers. They scored low on question 2 in the pre-test/post-test because this was with letters."/>
    <n v="10"/>
    <n v="0"/>
    <n v="0"/>
    <n v="0"/>
    <n v="0"/>
    <n v="0"/>
    <n v="0"/>
    <n v="5"/>
    <n v="3"/>
    <n v="1.3333333333333333"/>
    <n v="18"/>
    <n v="10"/>
    <n v="0"/>
    <n v="0"/>
    <n v="0"/>
    <n v="3"/>
    <n v="0"/>
    <n v="0"/>
    <n v="5"/>
    <n v="3"/>
    <n v="1.8333333333333333"/>
    <n v="21"/>
    <n v="10"/>
    <n v="30"/>
    <n v="10"/>
    <n v="0"/>
    <n v="3"/>
    <n v="5"/>
    <n v="0"/>
    <n v="5"/>
    <n v="3"/>
    <n v="2.6666666666666665"/>
    <n v="56"/>
    <n v="3"/>
    <n v="35"/>
    <n v="38"/>
    <x v="0"/>
  </r>
  <r>
    <n v="18"/>
    <x v="2"/>
    <n v="1"/>
    <s v="Had a lot more programming knowledge in the transfer test compared to the post test"/>
    <n v="10"/>
    <n v="20"/>
    <n v="6.6666666666666661"/>
    <n v="10"/>
    <n v="3"/>
    <n v="0"/>
    <n v="5"/>
    <n v="10"/>
    <n v="5"/>
    <n v="5.5"/>
    <n v="63"/>
    <n v="10"/>
    <n v="30"/>
    <n v="10"/>
    <n v="10"/>
    <n v="5"/>
    <n v="5"/>
    <n v="5"/>
    <n v="10"/>
    <n v="5"/>
    <n v="6.6666666666666661"/>
    <n v="80"/>
    <n v="10"/>
    <n v="30"/>
    <n v="10"/>
    <n v="10"/>
    <n v="10"/>
    <n v="10"/>
    <n v="10"/>
    <n v="10"/>
    <n v="8"/>
    <n v="9.6666666666666661"/>
    <n v="98"/>
    <n v="17"/>
    <n v="18"/>
    <n v="35"/>
    <x v="0"/>
  </r>
  <r>
    <n v="19"/>
    <x v="0"/>
    <n v="1"/>
    <m/>
    <n v="10"/>
    <n v="0"/>
    <n v="0"/>
    <n v="0"/>
    <n v="3"/>
    <n v="3"/>
    <n v="0"/>
    <n v="0"/>
    <n v="5"/>
    <n v="1.8333333333333333"/>
    <n v="21"/>
    <n v="10"/>
    <n v="20"/>
    <n v="6.6666666666666661"/>
    <n v="0"/>
    <n v="10"/>
    <n v="10"/>
    <n v="5"/>
    <n v="5"/>
    <n v="8"/>
    <n v="6.333333333333333"/>
    <n v="68"/>
    <n v="10"/>
    <n v="0"/>
    <n v="0"/>
    <n v="0"/>
    <n v="10"/>
    <n v="10"/>
    <n v="5"/>
    <n v="5"/>
    <n v="8"/>
    <n v="6.333333333333333"/>
    <n v="48"/>
    <n v="47"/>
    <n v="-20"/>
    <n v="27"/>
    <x v="0"/>
  </r>
  <r>
    <n v="20"/>
    <x v="1"/>
    <n v="1"/>
    <s v="Had a lot more programming knowledge in the transfer test compared to the post test. Also scored higher in pre test compared to post test."/>
    <n v="10"/>
    <n v="20"/>
    <n v="6.6666666666666661"/>
    <n v="0"/>
    <n v="3"/>
    <n v="3"/>
    <n v="0"/>
    <n v="5"/>
    <n v="5"/>
    <n v="2.6666666666666665"/>
    <n v="46"/>
    <n v="10"/>
    <n v="0"/>
    <n v="0"/>
    <n v="0"/>
    <n v="10"/>
    <n v="0"/>
    <n v="0"/>
    <n v="5"/>
    <n v="5"/>
    <n v="3.333333333333333"/>
    <n v="30"/>
    <n v="0"/>
    <n v="20"/>
    <n v="6.6666666666666661"/>
    <n v="0"/>
    <n v="5"/>
    <n v="5"/>
    <n v="5"/>
    <n v="5"/>
    <n v="8"/>
    <n v="4.666666666666667"/>
    <n v="48"/>
    <n v="-16"/>
    <n v="18"/>
    <n v="2"/>
    <x v="0"/>
  </r>
  <r>
    <n v="21"/>
    <x v="2"/>
    <n v="1"/>
    <m/>
    <n v="10"/>
    <n v="0"/>
    <n v="0"/>
    <n v="0"/>
    <n v="3"/>
    <n v="3"/>
    <n v="0"/>
    <n v="5"/>
    <n v="5"/>
    <n v="2.6666666666666665"/>
    <n v="26"/>
    <n v="10"/>
    <n v="30"/>
    <n v="10"/>
    <n v="0"/>
    <n v="10"/>
    <n v="10"/>
    <n v="5"/>
    <n v="0"/>
    <n v="5"/>
    <n v="5"/>
    <n v="70"/>
    <n v="10"/>
    <n v="30"/>
    <n v="10"/>
    <n v="0"/>
    <n v="10"/>
    <n v="10"/>
    <n v="5"/>
    <n v="5"/>
    <n v="5"/>
    <n v="5.8333333333333339"/>
    <n v="75"/>
    <n v="44"/>
    <n v="5"/>
    <n v="49"/>
    <x v="0"/>
  </r>
  <r>
    <n v="22"/>
    <x v="0"/>
    <n v="1"/>
    <m/>
    <n v="10"/>
    <n v="0"/>
    <n v="0"/>
    <n v="0"/>
    <n v="3"/>
    <n v="3"/>
    <n v="0"/>
    <n v="5"/>
    <n v="5"/>
    <n v="2.6666666666666665"/>
    <n v="26"/>
    <n v="10"/>
    <n v="30"/>
    <n v="10"/>
    <n v="0"/>
    <n v="10"/>
    <n v="10"/>
    <n v="5"/>
    <n v="0"/>
    <n v="5"/>
    <n v="5"/>
    <n v="70"/>
    <n v="0"/>
    <n v="30"/>
    <n v="10"/>
    <n v="0"/>
    <n v="10"/>
    <n v="5"/>
    <n v="5"/>
    <n v="5"/>
    <n v="5"/>
    <n v="5"/>
    <n v="60"/>
    <n v="44"/>
    <n v="-10"/>
    <n v="34"/>
    <x v="0"/>
  </r>
  <r>
    <n v="23"/>
    <x v="1"/>
    <n v="1"/>
    <s v="Did not attempt q3 of transfer test"/>
    <n v="10"/>
    <n v="0"/>
    <n v="0"/>
    <n v="0"/>
    <n v="0"/>
    <n v="0"/>
    <n v="0"/>
    <n v="5"/>
    <n v="3"/>
    <n v="1.3333333333333333"/>
    <n v="18"/>
    <n v="10"/>
    <n v="20"/>
    <n v="6.6666666666666661"/>
    <n v="0"/>
    <n v="0"/>
    <n v="0"/>
    <n v="0"/>
    <n v="5"/>
    <n v="3"/>
    <n v="1.3333333333333333"/>
    <n v="38"/>
    <n v="10"/>
    <n v="30"/>
    <n v="10"/>
    <n v="0"/>
    <n v="0"/>
    <n v="0"/>
    <n v="0"/>
    <n v="0"/>
    <n v="0"/>
    <n v="0"/>
    <n v="40"/>
    <n v="20"/>
    <n v="2"/>
    <n v="22"/>
    <x v="0"/>
  </r>
  <r>
    <n v="24"/>
    <x v="2"/>
    <n v="1"/>
    <s v="Student scored a little bit higher on the transfer test because they used the range function, which is given in question 2 of the transfer test, but not in question 2 in the pre-test or post-test."/>
    <n v="0"/>
    <n v="20"/>
    <n v="6.6666666666666661"/>
    <n v="0"/>
    <n v="0"/>
    <n v="0"/>
    <n v="0"/>
    <n v="5"/>
    <n v="3"/>
    <n v="1.3333333333333333"/>
    <n v="28"/>
    <n v="10"/>
    <n v="30"/>
    <n v="10"/>
    <n v="0"/>
    <n v="0"/>
    <n v="0"/>
    <n v="0"/>
    <n v="5"/>
    <n v="3"/>
    <n v="1.3333333333333333"/>
    <n v="48"/>
    <n v="10"/>
    <n v="30"/>
    <n v="10"/>
    <n v="0"/>
    <n v="3"/>
    <n v="0"/>
    <n v="0"/>
    <n v="5"/>
    <n v="3"/>
    <n v="1.8333333333333333"/>
    <n v="51"/>
    <n v="20"/>
    <n v="3"/>
    <n v="23"/>
    <x v="0"/>
  </r>
  <r>
    <n v="25"/>
    <x v="0"/>
    <n v="2"/>
    <m/>
    <n v="10"/>
    <n v="0"/>
    <n v="0"/>
    <n v="0"/>
    <n v="0"/>
    <n v="0"/>
    <n v="0"/>
    <n v="0"/>
    <n v="0"/>
    <n v="0"/>
    <n v="10"/>
    <n v="10"/>
    <n v="5"/>
    <n v="1.6666666666666665"/>
    <n v="0"/>
    <n v="3"/>
    <n v="0"/>
    <n v="0"/>
    <n v="0"/>
    <n v="3"/>
    <n v="1"/>
    <n v="21"/>
    <n v="10"/>
    <n v="5"/>
    <n v="1.6666666666666665"/>
    <n v="0"/>
    <n v="5"/>
    <n v="0"/>
    <n v="0"/>
    <n v="0"/>
    <n v="3"/>
    <n v="1.3333333333333333"/>
    <n v="23"/>
    <n v="11"/>
    <n v="2"/>
    <n v="13"/>
    <x v="0"/>
  </r>
  <r>
    <n v="26"/>
    <x v="1"/>
    <n v="2"/>
    <s v="Did not attempt q3 of transfer test"/>
    <n v="10"/>
    <n v="0"/>
    <n v="0"/>
    <n v="0"/>
    <n v="0"/>
    <n v="0"/>
    <n v="0"/>
    <n v="0"/>
    <n v="0"/>
    <n v="0"/>
    <n v="10"/>
    <n v="10"/>
    <n v="5"/>
    <n v="1.6666666666666665"/>
    <n v="0"/>
    <n v="3"/>
    <n v="10"/>
    <n v="0"/>
    <n v="5"/>
    <n v="8"/>
    <n v="4.3333333333333339"/>
    <n v="41"/>
    <n v="0"/>
    <n v="30"/>
    <n v="10"/>
    <n v="0"/>
    <n v="0"/>
    <n v="0"/>
    <n v="0"/>
    <n v="0"/>
    <n v="0"/>
    <n v="0"/>
    <n v="30"/>
    <n v="31"/>
    <n v="-11"/>
    <n v="20"/>
    <x v="0"/>
  </r>
  <r>
    <n v="27"/>
    <x v="2"/>
    <n v="2"/>
    <s v="Did not attempt q3 of transfer test"/>
    <n v="10"/>
    <n v="30"/>
    <n v="10"/>
    <n v="0"/>
    <n v="0"/>
    <n v="3"/>
    <n v="0"/>
    <n v="5"/>
    <n v="3"/>
    <n v="1.8333333333333333"/>
    <n v="51"/>
    <n v="10"/>
    <n v="30"/>
    <n v="10"/>
    <n v="0"/>
    <n v="0"/>
    <n v="3"/>
    <n v="0"/>
    <n v="5"/>
    <n v="3"/>
    <n v="1.8333333333333333"/>
    <n v="51"/>
    <n v="0"/>
    <n v="0"/>
    <n v="0"/>
    <n v="0"/>
    <n v="0"/>
    <n v="0"/>
    <n v="0"/>
    <n v="0"/>
    <n v="0"/>
    <n v="0"/>
    <n v="0"/>
    <n v="0"/>
    <n v="-51"/>
    <n v="-51"/>
    <x v="0"/>
  </r>
  <r>
    <n v="28"/>
    <x v="0"/>
    <n v="2"/>
    <s v="Did not attempt q3 of transfer test"/>
    <n v="10"/>
    <n v="30"/>
    <n v="10"/>
    <n v="0"/>
    <n v="0"/>
    <n v="3"/>
    <n v="0"/>
    <n v="5"/>
    <n v="3"/>
    <n v="1.8333333333333333"/>
    <n v="51"/>
    <n v="10"/>
    <n v="30"/>
    <n v="10"/>
    <n v="0"/>
    <n v="0"/>
    <n v="3"/>
    <n v="0"/>
    <n v="5"/>
    <n v="3"/>
    <n v="1.8333333333333333"/>
    <n v="51"/>
    <n v="0"/>
    <n v="30"/>
    <n v="10"/>
    <n v="0"/>
    <n v="0"/>
    <n v="0"/>
    <n v="0"/>
    <n v="0"/>
    <n v="0"/>
    <n v="0"/>
    <n v="30"/>
    <n v="0"/>
    <n v="-21"/>
    <n v="-21"/>
    <x v="0"/>
  </r>
  <r>
    <n v="29"/>
    <x v="1"/>
    <n v="2"/>
    <m/>
    <n v="10"/>
    <n v="30"/>
    <n v="10"/>
    <n v="0"/>
    <n v="3"/>
    <n v="3"/>
    <n v="0"/>
    <n v="5"/>
    <n v="3"/>
    <n v="2.3333333333333335"/>
    <n v="54"/>
    <n v="10"/>
    <n v="30"/>
    <n v="10"/>
    <n v="0"/>
    <n v="3"/>
    <n v="3"/>
    <n v="0"/>
    <n v="5"/>
    <n v="3"/>
    <n v="2.3333333333333335"/>
    <n v="54"/>
    <n v="0"/>
    <n v="30"/>
    <n v="10"/>
    <n v="0"/>
    <n v="3"/>
    <n v="3"/>
    <n v="0"/>
    <n v="5"/>
    <n v="3"/>
    <n v="2.3333333333333335"/>
    <n v="44"/>
    <n v="0"/>
    <n v="-10"/>
    <n v="-10"/>
    <x v="0"/>
  </r>
  <r>
    <n v="30"/>
    <x v="2"/>
    <n v="2"/>
    <m/>
    <n v="10"/>
    <n v="30"/>
    <n v="10"/>
    <n v="0"/>
    <n v="0"/>
    <n v="0"/>
    <n v="0"/>
    <n v="5"/>
    <n v="3"/>
    <n v="1.3333333333333333"/>
    <n v="48"/>
    <n v="10"/>
    <n v="30"/>
    <n v="10"/>
    <n v="0"/>
    <n v="5"/>
    <n v="10"/>
    <n v="5"/>
    <n v="5"/>
    <n v="5"/>
    <n v="5"/>
    <n v="70"/>
    <n v="0"/>
    <n v="30"/>
    <n v="10"/>
    <n v="0"/>
    <n v="10"/>
    <n v="10"/>
    <n v="0"/>
    <n v="5"/>
    <n v="5"/>
    <n v="5"/>
    <n v="60"/>
    <n v="22"/>
    <n v="-10"/>
    <n v="12"/>
    <x v="0"/>
  </r>
  <r>
    <n v="31"/>
    <x v="0"/>
    <n v="2"/>
    <m/>
    <n v="10"/>
    <n v="0"/>
    <n v="0"/>
    <n v="0"/>
    <n v="0"/>
    <n v="3"/>
    <n v="0"/>
    <n v="0"/>
    <n v="3"/>
    <n v="1"/>
    <n v="16"/>
    <n v="10"/>
    <n v="30"/>
    <n v="10"/>
    <n v="0"/>
    <n v="3"/>
    <n v="10"/>
    <n v="0"/>
    <n v="5"/>
    <n v="5"/>
    <n v="3.8333333333333335"/>
    <n v="63"/>
    <n v="10"/>
    <n v="0"/>
    <n v="0"/>
    <n v="0"/>
    <n v="5"/>
    <n v="5"/>
    <n v="0"/>
    <n v="0"/>
    <n v="5"/>
    <n v="2.5"/>
    <n v="25"/>
    <n v="47"/>
    <n v="-38"/>
    <n v="9"/>
    <x v="0"/>
  </r>
  <r>
    <n v="32"/>
    <x v="1"/>
    <n v="2"/>
    <m/>
    <n v="0"/>
    <n v="0"/>
    <n v="0"/>
    <n v="0"/>
    <n v="3"/>
    <n v="3"/>
    <n v="5"/>
    <n v="5"/>
    <n v="5"/>
    <n v="3.5"/>
    <n v="21"/>
    <n v="10"/>
    <n v="30"/>
    <n v="10"/>
    <n v="0"/>
    <n v="5"/>
    <n v="8"/>
    <n v="0"/>
    <n v="5"/>
    <n v="5"/>
    <n v="3.8333333333333335"/>
    <n v="63"/>
    <n v="10"/>
    <n v="30"/>
    <n v="10"/>
    <n v="0"/>
    <n v="5"/>
    <n v="8"/>
    <n v="3"/>
    <n v="5"/>
    <n v="5"/>
    <n v="4.3333333333333339"/>
    <n v="66"/>
    <n v="42"/>
    <n v="3"/>
    <n v="45"/>
    <x v="0"/>
  </r>
  <r>
    <n v="33"/>
    <x v="2"/>
    <n v="2"/>
    <m/>
    <n v="0"/>
    <n v="20"/>
    <n v="6.6666666666666661"/>
    <n v="0"/>
    <n v="0"/>
    <n v="3"/>
    <n v="0"/>
    <n v="5"/>
    <n v="3"/>
    <n v="1.8333333333333333"/>
    <n v="31"/>
    <n v="0"/>
    <n v="20"/>
    <n v="6.6666666666666661"/>
    <n v="0"/>
    <n v="0"/>
    <n v="0"/>
    <n v="0"/>
    <n v="5"/>
    <n v="3"/>
    <n v="1.3333333333333333"/>
    <n v="28"/>
    <n v="0"/>
    <n v="5"/>
    <n v="1.6666666666666665"/>
    <n v="0"/>
    <n v="0"/>
    <n v="0"/>
    <n v="0"/>
    <n v="5"/>
    <n v="3"/>
    <n v="1.3333333333333333"/>
    <n v="13"/>
    <n v="-3"/>
    <n v="-15"/>
    <n v="-18"/>
    <x v="0"/>
  </r>
  <r>
    <n v="34"/>
    <x v="0"/>
    <n v="2"/>
    <m/>
    <n v="0"/>
    <n v="0"/>
    <n v="0"/>
    <n v="0"/>
    <n v="0"/>
    <n v="3"/>
    <n v="0"/>
    <n v="0"/>
    <n v="3"/>
    <n v="1"/>
    <n v="6"/>
    <n v="10"/>
    <n v="20"/>
    <n v="6.6666666666666661"/>
    <n v="0"/>
    <n v="3"/>
    <n v="10"/>
    <n v="0"/>
    <n v="0"/>
    <n v="3"/>
    <n v="2.6666666666666665"/>
    <n v="46"/>
    <n v="10"/>
    <n v="30"/>
    <n v="10"/>
    <n v="0"/>
    <n v="3"/>
    <n v="10"/>
    <n v="0"/>
    <n v="0"/>
    <n v="3"/>
    <n v="2.6666666666666665"/>
    <n v="56"/>
    <n v="40"/>
    <n v="10"/>
    <n v="50"/>
    <x v="0"/>
  </r>
  <r>
    <n v="35"/>
    <x v="1"/>
    <n v="2"/>
    <m/>
    <n v="10"/>
    <n v="0"/>
    <n v="0"/>
    <n v="0"/>
    <n v="0"/>
    <n v="3"/>
    <n v="0"/>
    <n v="0"/>
    <n v="3"/>
    <n v="1"/>
    <n v="16"/>
    <n v="10"/>
    <n v="0"/>
    <n v="0"/>
    <n v="0"/>
    <n v="0"/>
    <n v="3"/>
    <n v="0"/>
    <n v="0"/>
    <n v="3"/>
    <n v="1"/>
    <n v="16"/>
    <n v="10"/>
    <n v="0"/>
    <n v="0"/>
    <n v="0"/>
    <n v="0"/>
    <n v="3"/>
    <n v="0"/>
    <n v="0"/>
    <n v="3"/>
    <n v="1"/>
    <n v="16"/>
    <n v="0"/>
    <n v="0"/>
    <n v="0"/>
    <x v="0"/>
  </r>
  <r>
    <n v="36"/>
    <x v="2"/>
    <n v="2"/>
    <m/>
    <n v="10"/>
    <n v="0"/>
    <n v="0"/>
    <n v="0"/>
    <n v="3"/>
    <n v="0"/>
    <n v="0"/>
    <n v="5"/>
    <n v="3"/>
    <n v="1.8333333333333333"/>
    <n v="21"/>
    <n v="10"/>
    <n v="0"/>
    <n v="0"/>
    <n v="0"/>
    <n v="0"/>
    <n v="3"/>
    <n v="5"/>
    <n v="0"/>
    <n v="3"/>
    <n v="1.8333333333333333"/>
    <n v="21"/>
    <n v="0"/>
    <n v="0"/>
    <n v="0"/>
    <n v="0"/>
    <n v="0"/>
    <n v="0"/>
    <n v="3"/>
    <n v="0"/>
    <n v="3"/>
    <n v="1"/>
    <n v="6"/>
    <n v="0"/>
    <n v="-15"/>
    <n v="-15"/>
    <x v="0"/>
  </r>
  <r>
    <n v="37"/>
    <x v="0"/>
    <n v="2"/>
    <m/>
    <n v="0"/>
    <n v="0"/>
    <n v="0"/>
    <n v="0"/>
    <n v="0"/>
    <n v="0"/>
    <n v="0"/>
    <n v="0"/>
    <n v="0"/>
    <n v="0"/>
    <n v="0"/>
    <n v="0"/>
    <n v="20"/>
    <n v="6.6666666666666661"/>
    <n v="0"/>
    <n v="5"/>
    <n v="0"/>
    <n v="0"/>
    <n v="0"/>
    <n v="3"/>
    <n v="1.3333333333333333"/>
    <n v="28"/>
    <n v="0"/>
    <n v="0"/>
    <n v="0"/>
    <n v="0"/>
    <n v="5"/>
    <n v="5"/>
    <n v="0"/>
    <n v="0"/>
    <n v="3"/>
    <n v="2.166666666666667"/>
    <n v="13"/>
    <n v="28"/>
    <n v="-15"/>
    <n v="13"/>
    <x v="0"/>
  </r>
  <r>
    <n v="38"/>
    <x v="1"/>
    <n v="2"/>
    <s v="Scored higher in the pre test compared to the post test, mainly due to q2"/>
    <n v="10"/>
    <n v="20"/>
    <n v="6.6666666666666661"/>
    <n v="0"/>
    <n v="3"/>
    <n v="0"/>
    <n v="0"/>
    <n v="5"/>
    <n v="3"/>
    <n v="1.8333333333333333"/>
    <n v="41"/>
    <n v="10"/>
    <n v="0"/>
    <n v="0"/>
    <n v="0"/>
    <n v="0"/>
    <n v="0"/>
    <n v="0"/>
    <n v="0"/>
    <n v="3"/>
    <n v="0.5"/>
    <n v="13"/>
    <n v="0"/>
    <n v="5"/>
    <n v="1.6666666666666665"/>
    <n v="0"/>
    <n v="3"/>
    <n v="3"/>
    <n v="0"/>
    <n v="0"/>
    <n v="3"/>
    <n v="1.5"/>
    <n v="14"/>
    <n v="-28"/>
    <n v="1"/>
    <n v="-27"/>
    <x v="0"/>
  </r>
  <r>
    <n v="39"/>
    <x v="2"/>
    <n v="2"/>
    <m/>
    <n v="10"/>
    <n v="0"/>
    <n v="0"/>
    <n v="0"/>
    <n v="0"/>
    <n v="3"/>
    <n v="0"/>
    <n v="5"/>
    <n v="3"/>
    <n v="1.8333333333333333"/>
    <n v="21"/>
    <n v="10"/>
    <n v="0"/>
    <n v="0"/>
    <n v="0"/>
    <n v="5"/>
    <n v="10"/>
    <n v="0"/>
    <n v="5"/>
    <n v="3"/>
    <n v="3.8333333333333335"/>
    <n v="33"/>
    <n v="0"/>
    <n v="5"/>
    <n v="1.6666666666666665"/>
    <n v="0"/>
    <n v="5"/>
    <n v="10"/>
    <n v="0"/>
    <n v="5"/>
    <n v="3"/>
    <n v="3.8333333333333335"/>
    <n v="28"/>
    <n v="12"/>
    <n v="-5"/>
    <n v="7"/>
    <x v="0"/>
  </r>
  <r>
    <n v="40"/>
    <x v="0"/>
    <n v="2"/>
    <m/>
    <n v="10"/>
    <n v="0"/>
    <n v="0"/>
    <n v="0"/>
    <n v="0"/>
    <n v="3"/>
    <n v="0"/>
    <n v="0"/>
    <n v="3"/>
    <n v="1"/>
    <n v="16"/>
    <n v="10"/>
    <n v="0"/>
    <n v="0"/>
    <n v="0"/>
    <n v="3"/>
    <n v="5"/>
    <n v="0"/>
    <n v="5"/>
    <n v="3"/>
    <n v="2.6666666666666665"/>
    <n v="26"/>
    <n v="0"/>
    <n v="5"/>
    <n v="1.6666666666666665"/>
    <n v="0"/>
    <n v="3"/>
    <n v="5"/>
    <n v="0"/>
    <n v="0"/>
    <n v="3"/>
    <n v="1.8333333333333333"/>
    <n v="16"/>
    <n v="10"/>
    <n v="-10"/>
    <n v="0"/>
    <x v="0"/>
  </r>
  <r>
    <n v="41"/>
    <x v="1"/>
    <n v="2"/>
    <m/>
    <n v="0"/>
    <n v="20"/>
    <n v="6.6666666666666661"/>
    <n v="0"/>
    <n v="0"/>
    <n v="0"/>
    <n v="0"/>
    <n v="5"/>
    <n v="3"/>
    <n v="1.3333333333333333"/>
    <n v="28"/>
    <n v="10"/>
    <n v="20"/>
    <n v="6.6666666666666661"/>
    <n v="0"/>
    <n v="5"/>
    <n v="0"/>
    <n v="0"/>
    <n v="5"/>
    <n v="3"/>
    <n v="2.166666666666667"/>
    <n v="43"/>
    <n v="10"/>
    <n v="20"/>
    <n v="6.6666666666666661"/>
    <n v="0"/>
    <n v="5"/>
    <n v="10"/>
    <n v="0"/>
    <n v="5"/>
    <n v="3"/>
    <n v="3.8333333333333335"/>
    <n v="53"/>
    <n v="15"/>
    <n v="10"/>
    <n v="25"/>
    <x v="0"/>
  </r>
  <r>
    <n v="42"/>
    <x v="2"/>
    <n v="2"/>
    <m/>
    <n v="0"/>
    <n v="0"/>
    <n v="0"/>
    <n v="0"/>
    <n v="0"/>
    <n v="3"/>
    <n v="0"/>
    <n v="5"/>
    <n v="3"/>
    <n v="1.8333333333333333"/>
    <n v="11"/>
    <n v="10"/>
    <n v="0"/>
    <n v="0"/>
    <n v="0"/>
    <n v="5"/>
    <n v="10"/>
    <n v="0"/>
    <n v="5"/>
    <n v="3"/>
    <n v="3.8333333333333335"/>
    <n v="33"/>
    <n v="0"/>
    <n v="5"/>
    <n v="1.6666666666666665"/>
    <n v="0"/>
    <n v="0"/>
    <n v="0"/>
    <n v="0"/>
    <n v="0"/>
    <n v="0"/>
    <n v="0"/>
    <n v="5"/>
    <n v="22"/>
    <n v="-28"/>
    <n v="-6"/>
    <x v="0"/>
  </r>
  <r>
    <n v="43"/>
    <x v="0"/>
    <n v="2"/>
    <m/>
    <n v="10"/>
    <n v="0"/>
    <n v="0"/>
    <n v="0"/>
    <n v="3"/>
    <n v="0"/>
    <n v="0"/>
    <n v="0"/>
    <n v="3"/>
    <n v="1"/>
    <n v="16"/>
    <n v="0"/>
    <n v="20"/>
    <n v="6.6666666666666661"/>
    <n v="10"/>
    <n v="0"/>
    <n v="3"/>
    <n v="0"/>
    <n v="5"/>
    <n v="3"/>
    <n v="3.5"/>
    <n v="41"/>
    <n v="10"/>
    <n v="5"/>
    <n v="1.6666666666666665"/>
    <n v="0"/>
    <n v="0"/>
    <n v="0"/>
    <n v="0"/>
    <n v="0"/>
    <n v="0"/>
    <n v="0"/>
    <n v="15"/>
    <n v="25"/>
    <n v="-26"/>
    <n v="-1"/>
    <x v="0"/>
  </r>
  <r>
    <n v="44"/>
    <x v="1"/>
    <n v="2"/>
    <m/>
    <n v="10"/>
    <n v="0"/>
    <n v="0"/>
    <n v="0"/>
    <n v="0"/>
    <n v="3"/>
    <n v="0"/>
    <n v="5"/>
    <n v="3"/>
    <n v="1.8333333333333333"/>
    <n v="21"/>
    <n v="10"/>
    <n v="20"/>
    <n v="6.6666666666666661"/>
    <n v="0"/>
    <n v="3"/>
    <n v="10"/>
    <n v="0"/>
    <n v="5"/>
    <n v="5"/>
    <n v="3.8333333333333335"/>
    <n v="53"/>
    <n v="10"/>
    <n v="10"/>
    <n v="3.333333333333333"/>
    <n v="5"/>
    <n v="5"/>
    <n v="10"/>
    <n v="0"/>
    <n v="5"/>
    <n v="5"/>
    <n v="5"/>
    <n v="50"/>
    <n v="32"/>
    <n v="-3"/>
    <n v="29"/>
    <x v="0"/>
  </r>
  <r>
    <n v="45"/>
    <x v="2"/>
    <n v="2"/>
    <m/>
    <n v="10"/>
    <n v="0"/>
    <n v="0"/>
    <n v="0"/>
    <n v="0"/>
    <n v="3"/>
    <n v="0"/>
    <n v="0"/>
    <n v="3"/>
    <n v="1"/>
    <n v="16"/>
    <n v="10"/>
    <n v="20"/>
    <n v="6.6666666666666661"/>
    <n v="0"/>
    <n v="0"/>
    <n v="3"/>
    <n v="0"/>
    <n v="5"/>
    <n v="5"/>
    <n v="2.166666666666667"/>
    <n v="43"/>
    <n v="0"/>
    <n v="0"/>
    <n v="0"/>
    <n v="0"/>
    <n v="5"/>
    <n v="10"/>
    <n v="0"/>
    <n v="0"/>
    <n v="3"/>
    <n v="3"/>
    <n v="18"/>
    <n v="27"/>
    <n v="-25"/>
    <n v="2"/>
    <x v="0"/>
  </r>
  <r>
    <n v="46"/>
    <x v="0"/>
    <n v="3"/>
    <m/>
    <n v="0"/>
    <n v="20"/>
    <n v="6.6666666666666661"/>
    <n v="0"/>
    <n v="3"/>
    <n v="3"/>
    <n v="5"/>
    <n v="0"/>
    <n v="3"/>
    <n v="2.3333333333333335"/>
    <n v="34"/>
    <n v="10"/>
    <n v="10"/>
    <n v="3.333333333333333"/>
    <n v="0"/>
    <n v="5"/>
    <n v="3"/>
    <n v="5"/>
    <n v="5"/>
    <n v="3"/>
    <n v="3.5"/>
    <n v="41"/>
    <n v="0"/>
    <n v="20"/>
    <n v="6.6666666666666661"/>
    <n v="0"/>
    <n v="5"/>
    <n v="5"/>
    <n v="0"/>
    <n v="5"/>
    <n v="3"/>
    <n v="3"/>
    <n v="38"/>
    <n v="7"/>
    <n v="-3"/>
    <n v="4"/>
    <x v="0"/>
  </r>
  <r>
    <n v="47"/>
    <x v="1"/>
    <n v="3"/>
    <m/>
    <n v="10"/>
    <n v="20"/>
    <n v="6.6666666666666661"/>
    <n v="0"/>
    <n v="3"/>
    <n v="3"/>
    <n v="5"/>
    <n v="0"/>
    <n v="3"/>
    <n v="2.3333333333333335"/>
    <n v="44"/>
    <n v="10"/>
    <n v="10"/>
    <n v="3.333333333333333"/>
    <n v="0"/>
    <n v="3"/>
    <n v="3"/>
    <n v="5"/>
    <n v="5"/>
    <n v="3"/>
    <n v="3.1666666666666665"/>
    <n v="39"/>
    <n v="0"/>
    <n v="30"/>
    <n v="10"/>
    <n v="0"/>
    <n v="5"/>
    <n v="3"/>
    <n v="0"/>
    <n v="5"/>
    <n v="3"/>
    <n v="2.6666666666666665"/>
    <n v="46"/>
    <n v="-5"/>
    <n v="7"/>
    <n v="2"/>
    <x v="0"/>
  </r>
  <r>
    <n v="48"/>
    <x v="2"/>
    <n v="3"/>
    <m/>
    <n v="0"/>
    <n v="0"/>
    <n v="0"/>
    <n v="0"/>
    <n v="0"/>
    <n v="0"/>
    <n v="0"/>
    <n v="0"/>
    <n v="0"/>
    <n v="0"/>
    <n v="0"/>
    <n v="10"/>
    <n v="30"/>
    <n v="10"/>
    <n v="0"/>
    <n v="3"/>
    <n v="3"/>
    <n v="5"/>
    <n v="5"/>
    <n v="5"/>
    <n v="3.5"/>
    <n v="61"/>
    <n v="10"/>
    <n v="30"/>
    <n v="10"/>
    <n v="0"/>
    <n v="5"/>
    <n v="5"/>
    <n v="0"/>
    <n v="5"/>
    <n v="5"/>
    <n v="3.333333333333333"/>
    <n v="60"/>
    <n v="61"/>
    <n v="-1"/>
    <n v="60"/>
    <x v="0"/>
  </r>
  <r>
    <n v="49"/>
    <x v="0"/>
    <n v="3"/>
    <m/>
    <n v="10"/>
    <n v="0"/>
    <n v="0"/>
    <n v="0"/>
    <n v="3"/>
    <n v="3"/>
    <n v="0"/>
    <n v="5"/>
    <n v="5"/>
    <n v="2.6666666666666665"/>
    <n v="26"/>
    <n v="10"/>
    <n v="30"/>
    <n v="10"/>
    <n v="5"/>
    <n v="5"/>
    <n v="10"/>
    <n v="5"/>
    <n v="5"/>
    <n v="8"/>
    <n v="6.333333333333333"/>
    <n v="78"/>
    <n v="10"/>
    <n v="30"/>
    <n v="10"/>
    <n v="5"/>
    <n v="5"/>
    <n v="5"/>
    <n v="5"/>
    <n v="5"/>
    <n v="8"/>
    <n v="5.5"/>
    <n v="73"/>
    <n v="52"/>
    <n v="-5"/>
    <n v="47"/>
    <x v="0"/>
  </r>
  <r>
    <n v="50"/>
    <x v="2"/>
    <n v="3"/>
    <s v="Had a lot more programming knowledge in the transfer test compared to the post test. Was originally in group B, but didn't want to use AI so was switched to group C."/>
    <n v="10"/>
    <n v="0"/>
    <n v="0"/>
    <n v="0"/>
    <n v="3"/>
    <n v="3"/>
    <n v="5"/>
    <n v="5"/>
    <n v="3"/>
    <n v="3.1666666666666665"/>
    <n v="29"/>
    <n v="10"/>
    <n v="0"/>
    <n v="0"/>
    <n v="5"/>
    <n v="3"/>
    <n v="3"/>
    <n v="5"/>
    <n v="5"/>
    <n v="3"/>
    <n v="4"/>
    <n v="34"/>
    <n v="10"/>
    <n v="30"/>
    <n v="10"/>
    <n v="0"/>
    <n v="10"/>
    <n v="10"/>
    <n v="5"/>
    <n v="5"/>
    <n v="5"/>
    <n v="5.8333333333333339"/>
    <n v="75"/>
    <n v="5"/>
    <n v="41"/>
    <n v="46"/>
    <x v="1"/>
  </r>
  <r>
    <n v="51"/>
    <x v="2"/>
    <n v="3"/>
    <m/>
    <n v="0"/>
    <n v="20"/>
    <n v="6.6666666666666661"/>
    <n v="0"/>
    <n v="0"/>
    <n v="3"/>
    <n v="5"/>
    <n v="5"/>
    <n v="3"/>
    <n v="2.6666666666666665"/>
    <n v="36"/>
    <n v="0"/>
    <n v="5"/>
    <n v="1.6666666666666665"/>
    <n v="10"/>
    <n v="5"/>
    <n v="10"/>
    <n v="10"/>
    <n v="10"/>
    <n v="8"/>
    <n v="8.8333333333333321"/>
    <n v="58"/>
    <n v="0"/>
    <n v="30"/>
    <n v="10"/>
    <n v="5"/>
    <n v="5"/>
    <n v="10"/>
    <n v="10"/>
    <n v="10"/>
    <n v="8"/>
    <n v="8"/>
    <n v="78"/>
    <n v="22"/>
    <n v="20"/>
    <n v="42"/>
    <x v="0"/>
  </r>
  <r>
    <n v="52"/>
    <x v="0"/>
    <n v="3"/>
    <m/>
    <n v="0"/>
    <n v="0"/>
    <n v="0"/>
    <n v="0"/>
    <n v="0"/>
    <n v="3"/>
    <n v="5"/>
    <n v="3"/>
    <n v="3"/>
    <n v="2.3333333333333335"/>
    <n v="14"/>
    <n v="10"/>
    <n v="30"/>
    <n v="10"/>
    <n v="0"/>
    <n v="10"/>
    <n v="10"/>
    <n v="0"/>
    <n v="5"/>
    <n v="5"/>
    <n v="5"/>
    <n v="70"/>
    <n v="0"/>
    <n v="10"/>
    <n v="3.333333333333333"/>
    <n v="0"/>
    <n v="3"/>
    <n v="5"/>
    <n v="5"/>
    <n v="5"/>
    <n v="5"/>
    <n v="3.8333333333333335"/>
    <n v="33"/>
    <n v="56"/>
    <n v="-37"/>
    <n v="19"/>
    <x v="0"/>
  </r>
  <r>
    <n v="53"/>
    <x v="1"/>
    <n v="3"/>
    <s v="Dit not attempt q3 of post test"/>
    <n v="10"/>
    <n v="0"/>
    <n v="0"/>
    <n v="0"/>
    <n v="3"/>
    <n v="3"/>
    <n v="5"/>
    <n v="5"/>
    <n v="3"/>
    <n v="3.1666666666666665"/>
    <n v="29"/>
    <n v="10"/>
    <n v="30"/>
    <n v="10"/>
    <n v="0"/>
    <n v="0"/>
    <n v="0"/>
    <n v="0"/>
    <n v="0"/>
    <n v="0"/>
    <n v="0"/>
    <n v="40"/>
    <n v="10"/>
    <n v="0"/>
    <n v="0"/>
    <n v="0"/>
    <n v="3"/>
    <n v="3"/>
    <n v="5"/>
    <n v="5"/>
    <n v="3"/>
    <n v="3.1666666666666665"/>
    <n v="29"/>
    <n v="11"/>
    <n v="-11"/>
    <n v="0"/>
    <x v="0"/>
  </r>
  <r>
    <n v="54"/>
    <x v="2"/>
    <n v="3"/>
    <s v="Dit not attempt q3 of post test"/>
    <n v="10"/>
    <n v="0"/>
    <n v="0"/>
    <n v="0"/>
    <n v="3"/>
    <n v="3"/>
    <n v="0"/>
    <n v="0"/>
    <n v="3"/>
    <n v="1.5"/>
    <n v="19"/>
    <n v="10"/>
    <n v="0"/>
    <n v="0"/>
    <n v="0"/>
    <n v="0"/>
    <n v="0"/>
    <n v="0"/>
    <n v="0"/>
    <n v="0"/>
    <n v="0"/>
    <n v="10"/>
    <n v="10"/>
    <n v="0"/>
    <n v="0"/>
    <n v="0"/>
    <n v="3"/>
    <n v="3"/>
    <n v="0"/>
    <n v="0"/>
    <n v="3"/>
    <n v="1.5"/>
    <n v="19"/>
    <n v="-9"/>
    <n v="9"/>
    <n v="0"/>
    <x v="0"/>
  </r>
  <r>
    <n v="55"/>
    <x v="2"/>
    <n v="3"/>
    <s v="Was originally in group A, but because Copilot had issues the student was switched to group C"/>
    <n v="10"/>
    <n v="20"/>
    <n v="6.6666666666666661"/>
    <n v="0"/>
    <n v="3"/>
    <n v="0"/>
    <n v="0"/>
    <n v="5"/>
    <n v="3"/>
    <n v="1.8333333333333333"/>
    <n v="41"/>
    <n v="10"/>
    <n v="0"/>
    <n v="0"/>
    <n v="0"/>
    <n v="3"/>
    <n v="3"/>
    <n v="5"/>
    <n v="5"/>
    <n v="8"/>
    <n v="4"/>
    <n v="34"/>
    <n v="10"/>
    <n v="0"/>
    <n v="0"/>
    <n v="0"/>
    <n v="3"/>
    <n v="5"/>
    <n v="5"/>
    <n v="5"/>
    <n v="8"/>
    <n v="4.3333333333333339"/>
    <n v="36"/>
    <n v="-7"/>
    <n v="2"/>
    <n v="-5"/>
    <x v="0"/>
  </r>
  <r>
    <n v="56"/>
    <x v="1"/>
    <n v="3"/>
    <m/>
    <n v="10"/>
    <n v="20"/>
    <n v="6.6666666666666661"/>
    <n v="0"/>
    <n v="3"/>
    <n v="3"/>
    <n v="0"/>
    <n v="5"/>
    <n v="5"/>
    <n v="2.6666666666666665"/>
    <n v="46"/>
    <n v="10"/>
    <n v="30"/>
    <n v="10"/>
    <n v="0"/>
    <n v="5"/>
    <n v="5"/>
    <n v="0"/>
    <n v="5"/>
    <n v="5"/>
    <n v="3.333333333333333"/>
    <n v="60"/>
    <n v="10"/>
    <n v="30"/>
    <n v="10"/>
    <n v="0"/>
    <n v="5"/>
    <n v="5"/>
    <n v="5"/>
    <n v="5"/>
    <n v="5"/>
    <n v="4.166666666666667"/>
    <n v="65"/>
    <n v="14"/>
    <n v="5"/>
    <n v="19"/>
    <x v="0"/>
  </r>
  <r>
    <n v="57"/>
    <x v="2"/>
    <n v="3"/>
    <m/>
    <n v="0"/>
    <n v="0"/>
    <n v="0"/>
    <n v="0"/>
    <n v="3"/>
    <n v="0"/>
    <n v="0"/>
    <n v="5"/>
    <n v="3"/>
    <n v="1.8333333333333333"/>
    <n v="11"/>
    <n v="10"/>
    <n v="20"/>
    <n v="6.6666666666666661"/>
    <n v="0"/>
    <n v="5"/>
    <n v="5"/>
    <n v="0"/>
    <n v="5"/>
    <n v="5"/>
    <n v="3.333333333333333"/>
    <n v="50"/>
    <n v="10"/>
    <n v="10"/>
    <n v="3.333333333333333"/>
    <n v="0"/>
    <n v="3"/>
    <n v="3"/>
    <n v="0"/>
    <n v="5"/>
    <n v="5"/>
    <n v="2.6666666666666665"/>
    <n v="36"/>
    <n v="39"/>
    <n v="-14"/>
    <n v="25"/>
    <x v="0"/>
  </r>
  <r>
    <n v="58"/>
    <x v="0"/>
    <n v="3"/>
    <s v="Did not write anything in the transfer test, because the student had to leave mid experiment."/>
    <n v="0"/>
    <n v="0"/>
    <n v="0"/>
    <n v="0"/>
    <n v="3"/>
    <n v="0"/>
    <n v="0"/>
    <n v="0"/>
    <n v="3"/>
    <n v="1"/>
    <n v="6"/>
    <n v="0"/>
    <n v="30"/>
    <n v="10"/>
    <n v="0"/>
    <n v="5"/>
    <n v="5"/>
    <n v="0"/>
    <n v="5"/>
    <n v="5"/>
    <n v="3.333333333333333"/>
    <n v="50"/>
    <n v="0"/>
    <n v="0"/>
    <n v="0"/>
    <n v="0"/>
    <n v="0"/>
    <n v="0"/>
    <n v="0"/>
    <n v="0"/>
    <n v="0"/>
    <n v="0"/>
    <n v="0"/>
    <n v="44"/>
    <n v="-50"/>
    <n v="-6"/>
    <x v="1"/>
  </r>
  <r>
    <n v="59"/>
    <x v="1"/>
    <n v="3"/>
    <m/>
    <n v="0"/>
    <n v="20"/>
    <n v="6.6666666666666661"/>
    <n v="0"/>
    <n v="0"/>
    <n v="3"/>
    <n v="0"/>
    <n v="0"/>
    <n v="3"/>
    <n v="1"/>
    <n v="26"/>
    <n v="10"/>
    <n v="20"/>
    <n v="6.6666666666666661"/>
    <n v="0"/>
    <n v="3"/>
    <n v="3"/>
    <n v="0"/>
    <n v="5"/>
    <n v="5"/>
    <n v="2.6666666666666665"/>
    <n v="46"/>
    <n v="10"/>
    <n v="20"/>
    <n v="6.6666666666666661"/>
    <n v="0"/>
    <n v="5"/>
    <n v="5"/>
    <n v="0"/>
    <n v="0"/>
    <n v="5"/>
    <n v="2.5"/>
    <n v="45"/>
    <n v="20"/>
    <n v="-1"/>
    <n v="19"/>
    <x v="0"/>
  </r>
  <r>
    <n v="60"/>
    <x v="2"/>
    <n v="3"/>
    <m/>
    <n v="0"/>
    <n v="20"/>
    <n v="6.6666666666666661"/>
    <n v="0"/>
    <n v="3"/>
    <n v="0"/>
    <n v="0"/>
    <n v="5"/>
    <n v="5"/>
    <n v="2.166666666666667"/>
    <n v="33"/>
    <n v="10"/>
    <n v="20"/>
    <n v="6.6666666666666661"/>
    <n v="5"/>
    <n v="3"/>
    <n v="3"/>
    <n v="5"/>
    <n v="5"/>
    <n v="5"/>
    <n v="4.3333333333333339"/>
    <n v="56"/>
    <n v="10"/>
    <n v="0"/>
    <n v="0"/>
    <n v="0"/>
    <n v="3"/>
    <n v="3"/>
    <n v="0"/>
    <n v="5"/>
    <n v="5"/>
    <n v="2.6666666666666665"/>
    <n v="26"/>
    <n v="23"/>
    <n v="-30"/>
    <n v="-7"/>
    <x v="0"/>
  </r>
  <r>
    <n v="61"/>
    <x v="0"/>
    <n v="3"/>
    <m/>
    <n v="10"/>
    <n v="0"/>
    <n v="0"/>
    <n v="0"/>
    <n v="3"/>
    <n v="0"/>
    <n v="0"/>
    <n v="5"/>
    <n v="5"/>
    <n v="2.166666666666667"/>
    <n v="23"/>
    <n v="0"/>
    <n v="30"/>
    <n v="10"/>
    <n v="0"/>
    <n v="10"/>
    <n v="0"/>
    <n v="0"/>
    <n v="5"/>
    <n v="5"/>
    <n v="3.333333333333333"/>
    <n v="50"/>
    <n v="0"/>
    <n v="20"/>
    <n v="6.6666666666666661"/>
    <n v="0"/>
    <n v="5"/>
    <n v="3"/>
    <n v="0"/>
    <n v="5"/>
    <n v="5"/>
    <n v="3"/>
    <n v="38"/>
    <n v="27"/>
    <n v="-12"/>
    <n v="15"/>
    <x v="0"/>
  </r>
  <r>
    <n v="62"/>
    <x v="2"/>
    <n v="3"/>
    <s v="Was originally in group B,  but because Copilot had issues the student was switched to group C. The teacher gave this student a yellow card during the research process, so they stopped halfway."/>
    <n v="10"/>
    <n v="20"/>
    <n v="6.6666666666666661"/>
    <n v="0"/>
    <n v="3"/>
    <n v="0"/>
    <n v="0"/>
    <n v="0"/>
    <n v="3"/>
    <n v="1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6"/>
    <n v="0"/>
    <n v="-36"/>
    <x v="1"/>
  </r>
  <r>
    <n v="63"/>
    <x v="2"/>
    <n v="3"/>
    <m/>
    <n v="10"/>
    <n v="5"/>
    <n v="1.6666666666666665"/>
    <n v="0"/>
    <n v="0"/>
    <n v="0"/>
    <n v="5"/>
    <n v="0"/>
    <n v="3"/>
    <n v="1.3333333333333333"/>
    <n v="23"/>
    <n v="0"/>
    <n v="20"/>
    <n v="6.6666666666666661"/>
    <n v="5"/>
    <n v="0"/>
    <n v="0"/>
    <n v="5"/>
    <n v="5"/>
    <n v="5"/>
    <n v="3.333333333333333"/>
    <n v="40"/>
    <n v="0"/>
    <n v="10"/>
    <n v="3.333333333333333"/>
    <n v="5"/>
    <n v="3"/>
    <n v="3"/>
    <n v="0"/>
    <n v="5"/>
    <n v="5"/>
    <n v="3.5"/>
    <n v="31"/>
    <n v="17"/>
    <n v="-9"/>
    <n v="8"/>
    <x v="0"/>
  </r>
  <r>
    <n v="64"/>
    <x v="0"/>
    <n v="3"/>
    <m/>
    <n v="10"/>
    <n v="5"/>
    <n v="1.6666666666666665"/>
    <n v="0"/>
    <n v="3"/>
    <n v="0"/>
    <n v="5"/>
    <n v="5"/>
    <n v="3"/>
    <n v="2.6666666666666665"/>
    <n v="31"/>
    <n v="0"/>
    <n v="20"/>
    <n v="6.6666666666666661"/>
    <n v="0"/>
    <n v="5"/>
    <n v="0"/>
    <n v="0"/>
    <n v="5"/>
    <n v="5"/>
    <n v="2.5"/>
    <n v="35"/>
    <n v="10"/>
    <n v="10"/>
    <n v="3.333333333333333"/>
    <n v="0"/>
    <n v="5"/>
    <n v="5"/>
    <n v="0"/>
    <n v="5"/>
    <n v="5"/>
    <n v="3.333333333333333"/>
    <n v="40"/>
    <n v="4"/>
    <n v="5"/>
    <n v="9"/>
    <x v="0"/>
  </r>
  <r>
    <s v="Averages"/>
    <x v="3"/>
    <m/>
    <m/>
    <n v="6.875"/>
    <n v="6.71875"/>
    <n v="2.2395833333333335"/>
    <n v="0.390625"/>
    <n v="1.40625"/>
    <n v="1.421875"/>
    <n v="0.9375"/>
    <n v="2.859375"/>
    <n v="2.875"/>
    <n v="1.6484375000000004"/>
    <n v="23.484375"/>
    <n v="8.28125"/>
    <n v="18.203125"/>
    <n v="6.0677083333333339"/>
    <n v="1.25"/>
    <n v="3.703125"/>
    <n v="3.765625"/>
    <n v="1.640625"/>
    <n v="3.671875"/>
    <n v="4.09375"/>
    <n v="3.0208333333333335"/>
    <n v="44.609375"/>
    <n v="5"/>
    <n v="16.796875"/>
    <n v="5.5989583333333339"/>
    <n v="0.859375"/>
    <n v="4.015625"/>
    <n v="4.546875"/>
    <n v="1.8125"/>
    <n v="3.28125"/>
    <n v="3.78125"/>
    <n v="3.0494791666666661"/>
    <n v="40.09375"/>
    <n v="21.125"/>
    <n v="-4.515625"/>
    <n v="16.60937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CE455-66A0-44E2-81B2-453CAFCE0D1F}" name="Draaitabel5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7">
  <location ref="A32:D36" firstHeaderRow="0" firstDataRow="1" firstDataCol="1" rowPageCount="1" colPageCount="1"/>
  <pivotFields count="41"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0" item="0" hier="-1"/>
  </pageFields>
  <dataFields count="3">
    <dataField name="Gemiddelde van Transfer_Q1" fld="26" subtotal="average" baseField="1" baseItem="0"/>
    <dataField name="Gemiddelde van Transfer_Q2_Grade" fld="28" subtotal="average" baseField="1" baseItem="0" numFmtId="164"/>
    <dataField name="Gemiddelde van Transfer_Q3_Grade" fld="35" subtotal="average" baseField="1" baseItem="0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6F69C-2480-4FA5-9347-6661C7E8F5BF}" name="Draaitabel4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23:D27" firstHeaderRow="0" firstDataRow="1" firstDataCol="1" rowPageCount="1" colPageCount="1"/>
  <pivotFields count="41"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0" item="0" hier="-1"/>
  </pageFields>
  <dataFields count="3">
    <dataField name="Gemiddelde van Post_Q1" fld="15" subtotal="average" baseField="1" baseItem="0"/>
    <dataField name="Gemiddelde van Post_Q2_Grade" fld="17" subtotal="average" baseField="1" baseItem="0" numFmtId="164"/>
    <dataField name="Gemiddelde van Post_Q3_Grade" fld="24" subtotal="average" baseField="1" baseItem="0" numFmtId="16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F9B8F-DDAD-4187-A124-8E5235071D01}" name="Draaitabel3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14:D18" firstHeaderRow="0" firstDataRow="1" firstDataCol="1" rowPageCount="1" colPageCount="1"/>
  <pivotFields count="41"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0" item="0" hier="-1"/>
  </pageFields>
  <dataFields count="3">
    <dataField name="Gemiddelde van Pre_Q1" fld="4" subtotal="average" baseField="1" baseItem="0"/>
    <dataField name="Gemiddelde van Pre_Q2_Grade" fld="6" subtotal="average" baseField="1" baseItem="0" numFmtId="164"/>
    <dataField name="Gemiddelde van Pre_Q3_Grade" fld="13" subtotal="average" baseField="1" baseItem="0" numFmtId="164"/>
  </dataFields>
  <formats count="2">
    <format dxfId="15">
      <pivotArea collapsedLevelsAreSubtotals="1" fieldPosition="0">
        <references count="1">
          <reference field="1" count="0"/>
        </references>
      </pivotArea>
    </format>
    <format dxfId="1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DCBAC-EBFC-4B48-BE49-4801D63D468D}" name="Draaitabel2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4:H8" firstHeaderRow="0" firstDataRow="1" firstDataCol="1" rowPageCount="1" colPageCount="1"/>
  <pivotFields count="41">
    <pivotField showAll="0"/>
    <pivotField axis="axisRow" dataFiel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dataField="1" showAll="0"/>
    <pivotField dataField="1" showAll="0"/>
    <pivotField dataField="1"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40" item="0" hier="-1"/>
  </pageFields>
  <dataFields count="7">
    <dataField name="Aantal van Condition" fld="1" subtotal="count" baseField="0" baseItem="0"/>
    <dataField name="Gemiddelde van Pre_Total" fld="14" subtotal="average" baseField="1" baseItem="0"/>
    <dataField name="Gemiddelde van Post_Total" fld="25" subtotal="average" baseField="1" baseItem="0"/>
    <dataField name="Gemiddelde van Transfer_Total" fld="36" subtotal="average" baseField="1" baseItem="0"/>
    <dataField name="Gemiddelde van Gain_Pre_Post" fld="37" subtotal="average" baseField="1" baseItem="0"/>
    <dataField name="Gemiddelde van Gain_Post_Transfer" fld="38" subtotal="average" baseField="1" baseItem="0"/>
    <dataField name="Gemiddelde van Gain_Pre_Transfer" fld="39" subtotal="average" baseField="1" baseItem="0"/>
  </dataFields>
  <formats count="1">
    <format dxfId="16">
      <pivotArea collapsedLevelsAreSubtotals="1" fieldPosition="0">
        <references count="2">
          <reference field="4294967294" count="1" selected="0">
            <x v="6"/>
          </reference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oresTable" displayName="ScoresTable" ref="A1:AO66">
  <tableColumns count="41">
    <tableColumn id="1" xr3:uid="{00000000-0010-0000-0000-000001000000}" name="Participant_ID"/>
    <tableColumn id="2" xr3:uid="{00000000-0010-0000-0000-000002000000}" name="Condition" dataDxfId="11"/>
    <tableColumn id="3" xr3:uid="{00000000-0010-0000-0000-000003000000}" name="Class"/>
    <tableColumn id="4" xr3:uid="{00000000-0010-0000-0000-000004000000}" name="General_comments" dataDxfId="10"/>
    <tableColumn id="5" xr3:uid="{00000000-0010-0000-0000-000005000000}" name="Pre_Q1"/>
    <tableColumn id="6" xr3:uid="{00000000-0010-0000-0000-000006000000}" name="Pre_Q2"/>
    <tableColumn id="13" xr3:uid="{C428F388-EB13-4EAD-B1C6-5EF1D1AA6417}" name="Pre_Q2_Grade" dataDxfId="9">
      <calculatedColumnFormula>ScoresTable[[#This Row],[Pre_Q2]]/30*10</calculatedColumnFormula>
    </tableColumn>
    <tableColumn id="7" xr3:uid="{00000000-0010-0000-0000-000007000000}" name="Pre_Q3.1"/>
    <tableColumn id="8" xr3:uid="{00000000-0010-0000-0000-000008000000}" name="Pre_Q3.2"/>
    <tableColumn id="9" xr3:uid="{00000000-0010-0000-0000-000009000000}" name="Pre_Q3.3"/>
    <tableColumn id="10" xr3:uid="{00000000-0010-0000-0000-00000A000000}" name="Pre_Q3.4"/>
    <tableColumn id="11" xr3:uid="{00000000-0010-0000-0000-00000B000000}" name="Pre_Q3.5"/>
    <tableColumn id="12" xr3:uid="{00000000-0010-0000-0000-00000C000000}" name="Pre_Q3.6"/>
    <tableColumn id="14" xr3:uid="{F1179653-9773-4C3C-9C0D-5153DCA3F55C}" name="Pre_Q3_Grade" dataDxfId="8">
      <calculatedColumnFormula>(SUM(H2:M2))/60*10</calculatedColumnFormula>
    </tableColumn>
    <tableColumn id="15" xr3:uid="{00000000-0010-0000-0000-00000F000000}" name="Pre_Total"/>
    <tableColumn id="17" xr3:uid="{00000000-0010-0000-0000-000011000000}" name="Post_Q1"/>
    <tableColumn id="18" xr3:uid="{00000000-0010-0000-0000-000012000000}" name="Post_Q2"/>
    <tableColumn id="16" xr3:uid="{030317B4-9695-449E-A19A-C7950F952BE9}" name="Post_Q2_Grade" dataDxfId="7">
      <calculatedColumnFormula>ScoresTable[[#This Row],[Post_Q2]]/30*10</calculatedColumnFormula>
    </tableColumn>
    <tableColumn id="19" xr3:uid="{00000000-0010-0000-0000-000013000000}" name="Post_Q3.1"/>
    <tableColumn id="20" xr3:uid="{00000000-0010-0000-0000-000014000000}" name="Post_Q3.2"/>
    <tableColumn id="21" xr3:uid="{00000000-0010-0000-0000-000015000000}" name="Post_Q3.3"/>
    <tableColumn id="22" xr3:uid="{00000000-0010-0000-0000-000016000000}" name="Post_Q3.4"/>
    <tableColumn id="23" xr3:uid="{00000000-0010-0000-0000-000017000000}" name="Post_Q3.5"/>
    <tableColumn id="24" xr3:uid="{00000000-0010-0000-0000-000018000000}" name="Post_Q3.6"/>
    <tableColumn id="25" xr3:uid="{8F0FA253-58CA-40A9-A59D-922FE052B706}" name="Post_Q3_Grade" dataDxfId="6">
      <calculatedColumnFormula>(SUM(S2:X2))/60*10</calculatedColumnFormula>
    </tableColumn>
    <tableColumn id="27" xr3:uid="{00000000-0010-0000-0000-00001B000000}" name="Post_Total"/>
    <tableColumn id="29" xr3:uid="{00000000-0010-0000-0000-00001D000000}" name="Transfer_Q1"/>
    <tableColumn id="30" xr3:uid="{00000000-0010-0000-0000-00001E000000}" name="Transfer_Q2"/>
    <tableColumn id="28" xr3:uid="{445953C7-C32E-4821-B5D7-64B5A7AA28D2}" name="Transfer_Q2_Grade" dataDxfId="5">
      <calculatedColumnFormula>ScoresTable[[#This Row],[Transfer_Q2]]/30*10</calculatedColumnFormula>
    </tableColumn>
    <tableColumn id="31" xr3:uid="{00000000-0010-0000-0000-00001F000000}" name="Transfer_Q3.1"/>
    <tableColumn id="32" xr3:uid="{00000000-0010-0000-0000-000020000000}" name="Transfer_Q3.2"/>
    <tableColumn id="33" xr3:uid="{00000000-0010-0000-0000-000021000000}" name="Transfer_Q3.3"/>
    <tableColumn id="34" xr3:uid="{00000000-0010-0000-0000-000022000000}" name="Transfer_Q3.4"/>
    <tableColumn id="35" xr3:uid="{00000000-0010-0000-0000-000023000000}" name="Transfer_Q3.5"/>
    <tableColumn id="36" xr3:uid="{00000000-0010-0000-0000-000024000000}" name="Transfer_Q3.6"/>
    <tableColumn id="26" xr3:uid="{F59562D5-9290-4308-BCAE-9E5F321F126D}" name="Transfer_Q3_Grade" dataDxfId="4">
      <calculatedColumnFormula>(SUM(AD2:AI2))/60*10</calculatedColumnFormula>
    </tableColumn>
    <tableColumn id="39" xr3:uid="{00000000-0010-0000-0000-000027000000}" name="Transfer_Total"/>
    <tableColumn id="41" xr3:uid="{00000000-0010-0000-0000-000029000000}" name="Gain_Pre_Post"/>
    <tableColumn id="42" xr3:uid="{00000000-0010-0000-0000-00002A000000}" name="Gain_Post_Transfer"/>
    <tableColumn id="43" xr3:uid="{00000000-0010-0000-0000-00002B000000}" name="Gain_Pre_Transfer"/>
    <tableColumn id="44" xr3:uid="{00000000-0010-0000-0000-00002C000000}" name="Exclude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6"/>
  <sheetViews>
    <sheetView tabSelected="1" topLeftCell="T1" zoomScaleNormal="100" workbookViewId="0">
      <selection activeCell="AP51" sqref="AP51"/>
    </sheetView>
  </sheetViews>
  <sheetFormatPr defaultRowHeight="14.25"/>
  <cols>
    <col min="1" max="1" width="13.375" bestFit="1" customWidth="1"/>
    <col min="2" max="2" width="9.5" bestFit="1" customWidth="1"/>
    <col min="3" max="3" width="5.75" bestFit="1" customWidth="1"/>
    <col min="4" max="4" width="28" customWidth="1"/>
    <col min="5" max="6" width="7.5" bestFit="1" customWidth="1"/>
    <col min="7" max="7" width="14.125" bestFit="1" customWidth="1"/>
    <col min="8" max="12" width="9" customWidth="1"/>
    <col min="13" max="13" width="9" bestFit="1" customWidth="1"/>
    <col min="14" max="14" width="14.125" bestFit="1" customWidth="1"/>
    <col min="15" max="15" width="9.5" bestFit="1" customWidth="1"/>
    <col min="16" max="17" width="8.375" bestFit="1" customWidth="1"/>
    <col min="18" max="18" width="15" bestFit="1" customWidth="1"/>
    <col min="19" max="24" width="9.875" bestFit="1" customWidth="1"/>
    <col min="25" max="25" width="15" bestFit="1" customWidth="1"/>
    <col min="26" max="26" width="10.375" bestFit="1" customWidth="1"/>
    <col min="27" max="28" width="12" bestFit="1" customWidth="1"/>
    <col min="29" max="29" width="18.75" bestFit="1" customWidth="1"/>
    <col min="30" max="35" width="13.625" bestFit="1" customWidth="1"/>
    <col min="36" max="36" width="18.75" bestFit="1" customWidth="1"/>
    <col min="37" max="37" width="14.125" bestFit="1" customWidth="1"/>
    <col min="38" max="38" width="14.25" bestFit="1" customWidth="1"/>
    <col min="39" max="39" width="18.875" bestFit="1" customWidth="1"/>
    <col min="40" max="40" width="18" bestFit="1" customWidth="1"/>
    <col min="41" max="41" width="9.125" bestFit="1" customWidth="1"/>
    <col min="42" max="43" width="15" customWidth="1"/>
    <col min="44" max="45" width="16" customWidth="1"/>
  </cols>
  <sheetData>
    <row r="1" spans="1:42" ht="15">
      <c r="A1" s="1" t="s">
        <v>0</v>
      </c>
      <c r="B1" s="1" t="s">
        <v>1</v>
      </c>
      <c r="C1" s="1" t="s">
        <v>36</v>
      </c>
      <c r="D1" s="1" t="s">
        <v>45</v>
      </c>
      <c r="E1" s="1" t="s">
        <v>2</v>
      </c>
      <c r="F1" s="1" t="s">
        <v>3</v>
      </c>
      <c r="G1" s="1" t="s">
        <v>56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58</v>
      </c>
      <c r="O1" s="1" t="s">
        <v>4</v>
      </c>
      <c r="P1" s="1" t="s">
        <v>5</v>
      </c>
      <c r="Q1" s="1" t="s">
        <v>6</v>
      </c>
      <c r="R1" s="1" t="s">
        <v>57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59</v>
      </c>
      <c r="Z1" s="1" t="s">
        <v>7</v>
      </c>
      <c r="AA1" s="1" t="s">
        <v>8</v>
      </c>
      <c r="AB1" s="1" t="s">
        <v>9</v>
      </c>
      <c r="AC1" s="1" t="s">
        <v>60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65</v>
      </c>
      <c r="AK1" s="1" t="s">
        <v>10</v>
      </c>
      <c r="AL1" s="1" t="s">
        <v>11</v>
      </c>
      <c r="AM1" s="1" t="s">
        <v>12</v>
      </c>
      <c r="AN1" s="1" t="s">
        <v>13</v>
      </c>
      <c r="AO1" s="1" t="s">
        <v>14</v>
      </c>
    </row>
    <row r="2" spans="1:42">
      <c r="A2" s="2">
        <v>1</v>
      </c>
      <c r="B2" s="4" t="s">
        <v>15</v>
      </c>
      <c r="C2" s="2">
        <v>1</v>
      </c>
      <c r="E2" s="2">
        <v>10</v>
      </c>
      <c r="F2" s="2">
        <v>0</v>
      </c>
      <c r="G2" s="3">
        <f>ScoresTable[[#This Row],[Pre_Q2]]/30*10</f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f t="shared" ref="N2:N46" si="0">(SUM(H2:M2))/60*10</f>
        <v>0</v>
      </c>
      <c r="O2" s="2">
        <f>SUM(E2:F2,H2:M2)</f>
        <v>10</v>
      </c>
      <c r="P2" s="2">
        <v>10</v>
      </c>
      <c r="Q2" s="2">
        <v>30</v>
      </c>
      <c r="R2" s="3">
        <f>ScoresTable[[#This Row],[Post_Q2]]/30*10</f>
        <v>10</v>
      </c>
      <c r="S2" s="2">
        <v>0</v>
      </c>
      <c r="T2" s="2">
        <v>10</v>
      </c>
      <c r="U2" s="2">
        <v>10</v>
      </c>
      <c r="V2" s="2">
        <v>5</v>
      </c>
      <c r="W2" s="2">
        <v>5</v>
      </c>
      <c r="X2" s="2">
        <v>8</v>
      </c>
      <c r="Y2" s="3">
        <f t="shared" ref="Y2:Y46" si="1">(SUM(S2:X2))/60*10</f>
        <v>6.333333333333333</v>
      </c>
      <c r="Z2" s="2">
        <f>SUM(P2:Q2,S2:X2)</f>
        <v>78</v>
      </c>
      <c r="AA2" s="2">
        <v>10</v>
      </c>
      <c r="AB2" s="2">
        <v>30</v>
      </c>
      <c r="AC2" s="3">
        <f>ScoresTable[[#This Row],[Transfer_Q2]]/30*10</f>
        <v>10</v>
      </c>
      <c r="AD2" s="2">
        <v>0</v>
      </c>
      <c r="AE2" s="2">
        <v>10</v>
      </c>
      <c r="AF2" s="2">
        <v>10</v>
      </c>
      <c r="AG2" s="2">
        <v>5</v>
      </c>
      <c r="AH2" s="2">
        <v>5</v>
      </c>
      <c r="AI2" s="2">
        <v>8</v>
      </c>
      <c r="AJ2" s="3">
        <f t="shared" ref="AJ2:AJ46" si="2">(SUM(AD2:AI2))/60*10</f>
        <v>6.333333333333333</v>
      </c>
      <c r="AK2" s="2">
        <f>SUM(AA2:AB2,AD2:AI2)</f>
        <v>78</v>
      </c>
      <c r="AL2" s="2">
        <f t="shared" ref="AL2:AL33" si="3">Z2-O2</f>
        <v>68</v>
      </c>
      <c r="AM2" s="2">
        <f t="shared" ref="AM2:AM33" si="4">AK2-Z2</f>
        <v>0</v>
      </c>
      <c r="AN2" s="2">
        <f t="shared" ref="AN2:AN33" si="5">AK2-O2</f>
        <v>68</v>
      </c>
      <c r="AO2" s="2" t="s">
        <v>39</v>
      </c>
    </row>
    <row r="3" spans="1:42">
      <c r="A3" s="2">
        <v>2</v>
      </c>
      <c r="B3" s="4" t="s">
        <v>16</v>
      </c>
      <c r="C3" s="2">
        <v>1</v>
      </c>
      <c r="E3" s="2">
        <v>10</v>
      </c>
      <c r="F3" s="2">
        <v>0</v>
      </c>
      <c r="G3" s="3">
        <f>ScoresTable[[#This Row],[Pre_Q2]]/30*10</f>
        <v>0</v>
      </c>
      <c r="H3" s="2">
        <v>0</v>
      </c>
      <c r="I3" s="2">
        <v>3</v>
      </c>
      <c r="J3" s="2">
        <v>0</v>
      </c>
      <c r="K3" s="2">
        <v>0</v>
      </c>
      <c r="L3" s="2">
        <v>10</v>
      </c>
      <c r="M3" s="2">
        <v>5</v>
      </c>
      <c r="N3" s="3">
        <f t="shared" si="0"/>
        <v>3</v>
      </c>
      <c r="O3" s="2">
        <f>SUM(E3:F3,H3:M3)</f>
        <v>28</v>
      </c>
      <c r="P3" s="2">
        <v>10</v>
      </c>
      <c r="Q3" s="2">
        <v>30</v>
      </c>
      <c r="R3" s="3">
        <f>ScoresTable[[#This Row],[Post_Q2]]/30*10</f>
        <v>10</v>
      </c>
      <c r="S3" s="2">
        <v>10</v>
      </c>
      <c r="T3" s="2">
        <v>10</v>
      </c>
      <c r="U3" s="2">
        <v>5</v>
      </c>
      <c r="V3" s="2">
        <v>5</v>
      </c>
      <c r="W3" s="2">
        <v>5</v>
      </c>
      <c r="X3" s="2">
        <v>8</v>
      </c>
      <c r="Y3" s="3">
        <f t="shared" si="1"/>
        <v>7.166666666666667</v>
      </c>
      <c r="Z3" s="2">
        <f t="shared" ref="Z3:Z65" si="6">SUM(P3:Q3,S3:X3)</f>
        <v>83</v>
      </c>
      <c r="AA3" s="2">
        <v>10</v>
      </c>
      <c r="AB3" s="2">
        <v>20</v>
      </c>
      <c r="AC3" s="3">
        <f>ScoresTable[[#This Row],[Transfer_Q2]]/30*10</f>
        <v>6.6666666666666661</v>
      </c>
      <c r="AD3" s="2">
        <v>10</v>
      </c>
      <c r="AE3" s="2">
        <v>10</v>
      </c>
      <c r="AF3" s="2">
        <v>10</v>
      </c>
      <c r="AG3" s="2">
        <v>5</v>
      </c>
      <c r="AH3" s="2">
        <v>5</v>
      </c>
      <c r="AI3" s="2">
        <v>8</v>
      </c>
      <c r="AJ3" s="3">
        <f t="shared" si="2"/>
        <v>8</v>
      </c>
      <c r="AK3" s="2">
        <f t="shared" ref="AK3:AK65" si="7">SUM(AA3:AB3,AD3:AI3)</f>
        <v>78</v>
      </c>
      <c r="AL3" s="2">
        <f t="shared" si="3"/>
        <v>55</v>
      </c>
      <c r="AM3" s="2">
        <f t="shared" si="4"/>
        <v>-5</v>
      </c>
      <c r="AN3" s="2">
        <f t="shared" si="5"/>
        <v>50</v>
      </c>
      <c r="AO3" s="2" t="s">
        <v>39</v>
      </c>
    </row>
    <row r="4" spans="1:42">
      <c r="A4" s="2">
        <v>3</v>
      </c>
      <c r="B4" s="4" t="s">
        <v>17</v>
      </c>
      <c r="C4" s="2">
        <v>1</v>
      </c>
      <c r="E4" s="2">
        <v>10</v>
      </c>
      <c r="F4" s="2">
        <v>0</v>
      </c>
      <c r="G4" s="3">
        <f>ScoresTable[[#This Row],[Pre_Q2]]/30*10</f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>
        <f t="shared" si="0"/>
        <v>0</v>
      </c>
      <c r="O4" s="2">
        <f t="shared" ref="O4:O65" si="8">SUM(E4:F4,H4:M4)</f>
        <v>10</v>
      </c>
      <c r="P4" s="2">
        <v>10</v>
      </c>
      <c r="Q4" s="2">
        <v>20</v>
      </c>
      <c r="R4" s="3">
        <f>ScoresTable[[#This Row],[Post_Q2]]/30*10</f>
        <v>6.6666666666666661</v>
      </c>
      <c r="S4" s="2">
        <v>0</v>
      </c>
      <c r="T4" s="2">
        <v>0</v>
      </c>
      <c r="U4" s="2">
        <v>3</v>
      </c>
      <c r="V4" s="2">
        <v>0</v>
      </c>
      <c r="W4" s="2">
        <v>0</v>
      </c>
      <c r="X4" s="2">
        <v>0</v>
      </c>
      <c r="Y4" s="3">
        <f t="shared" si="1"/>
        <v>0.5</v>
      </c>
      <c r="Z4" s="2">
        <f t="shared" si="6"/>
        <v>33</v>
      </c>
      <c r="AA4" s="2">
        <v>0</v>
      </c>
      <c r="AB4" s="2">
        <v>20</v>
      </c>
      <c r="AC4" s="3">
        <f>ScoresTable[[#This Row],[Transfer_Q2]]/30*10</f>
        <v>6.6666666666666661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3">
        <f t="shared" si="2"/>
        <v>0</v>
      </c>
      <c r="AK4" s="2">
        <f t="shared" si="7"/>
        <v>20</v>
      </c>
      <c r="AL4" s="2">
        <f t="shared" si="3"/>
        <v>23</v>
      </c>
      <c r="AM4" s="2">
        <f t="shared" si="4"/>
        <v>-13</v>
      </c>
      <c r="AN4" s="2">
        <f t="shared" si="5"/>
        <v>10</v>
      </c>
      <c r="AO4" s="2" t="s">
        <v>39</v>
      </c>
    </row>
    <row r="5" spans="1:42">
      <c r="A5" s="2">
        <v>4</v>
      </c>
      <c r="B5" s="4" t="s">
        <v>15</v>
      </c>
      <c r="C5" s="2">
        <v>1</v>
      </c>
      <c r="E5" s="2">
        <v>10</v>
      </c>
      <c r="F5" s="2">
        <v>0</v>
      </c>
      <c r="G5" s="3">
        <f>ScoresTable[[#This Row],[Pre_Q2]]/30*10</f>
        <v>0</v>
      </c>
      <c r="H5" s="2">
        <v>5</v>
      </c>
      <c r="I5" s="2">
        <v>3</v>
      </c>
      <c r="J5" s="2">
        <v>5</v>
      </c>
      <c r="K5" s="2">
        <v>5</v>
      </c>
      <c r="L5" s="2">
        <v>5</v>
      </c>
      <c r="M5" s="2">
        <v>8</v>
      </c>
      <c r="N5" s="3">
        <f t="shared" si="0"/>
        <v>5.166666666666667</v>
      </c>
      <c r="O5" s="2">
        <f t="shared" si="8"/>
        <v>41</v>
      </c>
      <c r="P5" s="2">
        <v>10</v>
      </c>
      <c r="Q5" s="2">
        <v>30</v>
      </c>
      <c r="R5" s="3">
        <f>ScoresTable[[#This Row],[Post_Q2]]/30*10</f>
        <v>10</v>
      </c>
      <c r="S5" s="2">
        <v>5</v>
      </c>
      <c r="T5" s="2">
        <v>3</v>
      </c>
      <c r="U5" s="2">
        <v>5</v>
      </c>
      <c r="V5" s="2">
        <v>5</v>
      </c>
      <c r="W5" s="2">
        <v>5</v>
      </c>
      <c r="X5" s="2">
        <v>8</v>
      </c>
      <c r="Y5" s="3">
        <f t="shared" si="1"/>
        <v>5.166666666666667</v>
      </c>
      <c r="Z5" s="2">
        <f t="shared" si="6"/>
        <v>71</v>
      </c>
      <c r="AA5" s="2">
        <v>0</v>
      </c>
      <c r="AB5" s="2">
        <v>30</v>
      </c>
      <c r="AC5" s="3">
        <f>ScoresTable[[#This Row],[Transfer_Q2]]/30*10</f>
        <v>10</v>
      </c>
      <c r="AD5" s="2">
        <v>0</v>
      </c>
      <c r="AE5" s="2">
        <v>5</v>
      </c>
      <c r="AF5" s="2">
        <v>10</v>
      </c>
      <c r="AG5" s="2">
        <v>0</v>
      </c>
      <c r="AH5" s="2">
        <v>5</v>
      </c>
      <c r="AI5" s="2">
        <v>8</v>
      </c>
      <c r="AJ5" s="3">
        <f t="shared" si="2"/>
        <v>4.666666666666667</v>
      </c>
      <c r="AK5" s="2">
        <f t="shared" si="7"/>
        <v>58</v>
      </c>
      <c r="AL5" s="2">
        <f t="shared" si="3"/>
        <v>30</v>
      </c>
      <c r="AM5" s="2">
        <f t="shared" si="4"/>
        <v>-13</v>
      </c>
      <c r="AN5" s="2">
        <f t="shared" si="5"/>
        <v>17</v>
      </c>
      <c r="AO5" s="2" t="s">
        <v>39</v>
      </c>
    </row>
    <row r="6" spans="1:42">
      <c r="A6" s="2">
        <v>5</v>
      </c>
      <c r="B6" s="4" t="s">
        <v>16</v>
      </c>
      <c r="C6" s="2">
        <v>1</v>
      </c>
      <c r="D6" t="s">
        <v>84</v>
      </c>
      <c r="E6" s="2">
        <v>0</v>
      </c>
      <c r="F6" s="2">
        <v>0</v>
      </c>
      <c r="G6" s="3">
        <f>ScoresTable[[#This Row],[Pre_Q2]]/30*10</f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>
        <f t="shared" si="0"/>
        <v>0</v>
      </c>
      <c r="O6" s="2">
        <f t="shared" si="8"/>
        <v>0</v>
      </c>
      <c r="P6" s="2">
        <v>10</v>
      </c>
      <c r="Q6" s="2">
        <v>30</v>
      </c>
      <c r="R6" s="3">
        <f>ScoresTable[[#This Row],[Post_Q2]]/30*10</f>
        <v>10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3">
        <f t="shared" si="1"/>
        <v>0</v>
      </c>
      <c r="Z6" s="2">
        <f t="shared" si="6"/>
        <v>40</v>
      </c>
      <c r="AA6" s="2">
        <v>0</v>
      </c>
      <c r="AB6" s="2">
        <v>30</v>
      </c>
      <c r="AC6" s="3">
        <f>ScoresTable[[#This Row],[Transfer_Q2]]/30*10</f>
        <v>10</v>
      </c>
      <c r="AD6" s="2">
        <v>5</v>
      </c>
      <c r="AE6" s="2">
        <v>5</v>
      </c>
      <c r="AF6" s="2">
        <v>10</v>
      </c>
      <c r="AG6" s="2">
        <v>5</v>
      </c>
      <c r="AH6" s="2">
        <v>10</v>
      </c>
      <c r="AI6" s="2">
        <v>8</v>
      </c>
      <c r="AJ6" s="3">
        <f t="shared" si="2"/>
        <v>7.166666666666667</v>
      </c>
      <c r="AK6" s="2">
        <f t="shared" si="7"/>
        <v>73</v>
      </c>
      <c r="AL6" s="2">
        <f t="shared" si="3"/>
        <v>40</v>
      </c>
      <c r="AM6" s="2">
        <f t="shared" si="4"/>
        <v>33</v>
      </c>
      <c r="AN6" s="2">
        <f t="shared" si="5"/>
        <v>73</v>
      </c>
      <c r="AO6" s="2" t="s">
        <v>39</v>
      </c>
      <c r="AP6" s="13"/>
    </row>
    <row r="7" spans="1:42">
      <c r="A7" s="2">
        <v>6</v>
      </c>
      <c r="B7" s="4" t="s">
        <v>17</v>
      </c>
      <c r="C7" s="2">
        <v>1</v>
      </c>
      <c r="E7" s="2">
        <v>0</v>
      </c>
      <c r="F7" s="2">
        <v>0</v>
      </c>
      <c r="G7" s="3">
        <f>ScoresTable[[#This Row],[Pre_Q2]]/30*10</f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>
        <f t="shared" si="0"/>
        <v>0</v>
      </c>
      <c r="O7" s="2">
        <f t="shared" si="8"/>
        <v>0</v>
      </c>
      <c r="P7" s="2">
        <v>10</v>
      </c>
      <c r="Q7" s="2">
        <v>30</v>
      </c>
      <c r="R7" s="3">
        <f>ScoresTable[[#This Row],[Post_Q2]]/30*10</f>
        <v>10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3">
        <f t="shared" si="1"/>
        <v>0</v>
      </c>
      <c r="Z7" s="2">
        <f t="shared" si="6"/>
        <v>40</v>
      </c>
      <c r="AA7" s="2">
        <v>0</v>
      </c>
      <c r="AB7" s="2">
        <v>30</v>
      </c>
      <c r="AC7" s="3">
        <f>ScoresTable[[#This Row],[Transfer_Q2]]/30*10</f>
        <v>10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3">
        <f t="shared" si="2"/>
        <v>0</v>
      </c>
      <c r="AK7" s="2">
        <f t="shared" si="7"/>
        <v>30</v>
      </c>
      <c r="AL7" s="2">
        <f t="shared" si="3"/>
        <v>40</v>
      </c>
      <c r="AM7" s="2">
        <f t="shared" si="4"/>
        <v>-10</v>
      </c>
      <c r="AN7" s="2">
        <f t="shared" si="5"/>
        <v>30</v>
      </c>
      <c r="AO7" s="2" t="s">
        <v>39</v>
      </c>
    </row>
    <row r="8" spans="1:42">
      <c r="A8" s="2">
        <v>7</v>
      </c>
      <c r="B8" s="4" t="s">
        <v>15</v>
      </c>
      <c r="C8" s="2">
        <v>1</v>
      </c>
      <c r="E8" s="2">
        <v>0</v>
      </c>
      <c r="F8" s="2">
        <v>0</v>
      </c>
      <c r="G8" s="3">
        <f>ScoresTable[[#This Row],[Pre_Q2]]/30*10</f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3">
        <f t="shared" si="0"/>
        <v>0</v>
      </c>
      <c r="O8" s="2">
        <f t="shared" si="8"/>
        <v>0</v>
      </c>
      <c r="P8" s="2">
        <v>10</v>
      </c>
      <c r="Q8" s="2">
        <v>30</v>
      </c>
      <c r="R8" s="3">
        <f>ScoresTable[[#This Row],[Post_Q2]]/30*10</f>
        <v>10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3">
        <f t="shared" si="1"/>
        <v>0</v>
      </c>
      <c r="Z8" s="2">
        <f t="shared" si="6"/>
        <v>40</v>
      </c>
      <c r="AA8" s="2">
        <v>0</v>
      </c>
      <c r="AB8" s="2">
        <v>30</v>
      </c>
      <c r="AC8" s="3">
        <f>ScoresTable[[#This Row],[Transfer_Q2]]/30*10</f>
        <v>10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3">
        <f t="shared" si="2"/>
        <v>0</v>
      </c>
      <c r="AK8" s="2">
        <f t="shared" si="7"/>
        <v>30</v>
      </c>
      <c r="AL8" s="2">
        <f t="shared" si="3"/>
        <v>40</v>
      </c>
      <c r="AM8" s="2">
        <f t="shared" si="4"/>
        <v>-10</v>
      </c>
      <c r="AN8" s="2">
        <f t="shared" si="5"/>
        <v>30</v>
      </c>
      <c r="AO8" s="2" t="s">
        <v>39</v>
      </c>
    </row>
    <row r="9" spans="1:42">
      <c r="A9" s="2">
        <v>8</v>
      </c>
      <c r="B9" s="4" t="s">
        <v>16</v>
      </c>
      <c r="C9" s="2">
        <v>1</v>
      </c>
      <c r="E9" s="2">
        <v>10</v>
      </c>
      <c r="F9" s="2">
        <v>20</v>
      </c>
      <c r="G9" s="3">
        <f>ScoresTable[[#This Row],[Pre_Q2]]/30*10</f>
        <v>6.6666666666666661</v>
      </c>
      <c r="H9" s="2">
        <v>0</v>
      </c>
      <c r="I9" s="2">
        <v>3</v>
      </c>
      <c r="J9" s="2">
        <v>0</v>
      </c>
      <c r="K9" s="2">
        <v>0</v>
      </c>
      <c r="L9" s="2">
        <v>5</v>
      </c>
      <c r="M9" s="2">
        <v>3</v>
      </c>
      <c r="N9" s="3">
        <f t="shared" si="0"/>
        <v>1.8333333333333333</v>
      </c>
      <c r="O9" s="2">
        <f t="shared" si="8"/>
        <v>41</v>
      </c>
      <c r="P9" s="2">
        <v>10</v>
      </c>
      <c r="Q9" s="2">
        <v>20</v>
      </c>
      <c r="R9" s="3">
        <f>ScoresTable[[#This Row],[Post_Q2]]/30*10</f>
        <v>6.6666666666666661</v>
      </c>
      <c r="S9" s="2">
        <v>0</v>
      </c>
      <c r="T9" s="2">
        <v>5</v>
      </c>
      <c r="U9" s="2">
        <v>0</v>
      </c>
      <c r="V9" s="2">
        <v>0</v>
      </c>
      <c r="W9" s="2">
        <v>5</v>
      </c>
      <c r="X9" s="2">
        <v>5</v>
      </c>
      <c r="Y9" s="3">
        <f t="shared" si="1"/>
        <v>2.5</v>
      </c>
      <c r="Z9" s="2">
        <f t="shared" si="6"/>
        <v>45</v>
      </c>
      <c r="AA9" s="2">
        <v>10</v>
      </c>
      <c r="AB9" s="2">
        <v>20</v>
      </c>
      <c r="AC9" s="3">
        <f>ScoresTable[[#This Row],[Transfer_Q2]]/30*10</f>
        <v>6.6666666666666661</v>
      </c>
      <c r="AD9" s="2">
        <v>0</v>
      </c>
      <c r="AE9" s="2">
        <v>5</v>
      </c>
      <c r="AF9" s="2">
        <v>10</v>
      </c>
      <c r="AG9" s="2">
        <v>5</v>
      </c>
      <c r="AH9" s="2">
        <v>5</v>
      </c>
      <c r="AI9" s="2">
        <v>5</v>
      </c>
      <c r="AJ9" s="3">
        <f t="shared" si="2"/>
        <v>5</v>
      </c>
      <c r="AK9" s="2">
        <f t="shared" si="7"/>
        <v>60</v>
      </c>
      <c r="AL9" s="2">
        <f t="shared" si="3"/>
        <v>4</v>
      </c>
      <c r="AM9" s="2">
        <f t="shared" si="4"/>
        <v>15</v>
      </c>
      <c r="AN9" s="2">
        <f t="shared" si="5"/>
        <v>19</v>
      </c>
      <c r="AO9" s="2" t="s">
        <v>39</v>
      </c>
    </row>
    <row r="10" spans="1:42">
      <c r="A10" s="2">
        <v>9</v>
      </c>
      <c r="B10" s="4" t="s">
        <v>17</v>
      </c>
      <c r="C10" s="2">
        <v>1</v>
      </c>
      <c r="D10" t="s">
        <v>82</v>
      </c>
      <c r="E10" s="2">
        <v>10</v>
      </c>
      <c r="F10" s="2">
        <v>0</v>
      </c>
      <c r="G10" s="3">
        <f>ScoresTable[[#This Row],[Pre_Q2]]/30*10</f>
        <v>0</v>
      </c>
      <c r="H10" s="2">
        <v>5</v>
      </c>
      <c r="I10" s="2">
        <v>3</v>
      </c>
      <c r="J10" s="2">
        <v>5</v>
      </c>
      <c r="K10" s="2">
        <v>5</v>
      </c>
      <c r="L10" s="2">
        <v>5</v>
      </c>
      <c r="M10" s="2">
        <v>8</v>
      </c>
      <c r="N10" s="3">
        <f t="shared" si="0"/>
        <v>5.166666666666667</v>
      </c>
      <c r="O10" s="2">
        <f t="shared" si="8"/>
        <v>41</v>
      </c>
      <c r="P10" s="2">
        <v>10</v>
      </c>
      <c r="Q10" s="2">
        <v>30</v>
      </c>
      <c r="R10" s="3">
        <f>ScoresTable[[#This Row],[Post_Q2]]/30*10</f>
        <v>10</v>
      </c>
      <c r="S10" s="2">
        <v>5</v>
      </c>
      <c r="T10" s="2">
        <v>3</v>
      </c>
      <c r="U10" s="2">
        <v>5</v>
      </c>
      <c r="V10" s="2">
        <v>5</v>
      </c>
      <c r="W10" s="2">
        <v>5</v>
      </c>
      <c r="X10" s="2">
        <v>8</v>
      </c>
      <c r="Y10" s="3">
        <f t="shared" si="1"/>
        <v>5.166666666666667</v>
      </c>
      <c r="Z10" s="2">
        <f t="shared" si="6"/>
        <v>71</v>
      </c>
      <c r="AA10" s="2">
        <v>0</v>
      </c>
      <c r="AB10" s="2">
        <v>30</v>
      </c>
      <c r="AC10" s="3">
        <f>ScoresTable[[#This Row],[Transfer_Q2]]/30*10</f>
        <v>10</v>
      </c>
      <c r="AD10" s="2">
        <v>10</v>
      </c>
      <c r="AE10" s="2">
        <v>10</v>
      </c>
      <c r="AF10" s="2">
        <v>10</v>
      </c>
      <c r="AG10" s="2">
        <v>10</v>
      </c>
      <c r="AH10" s="2">
        <v>10</v>
      </c>
      <c r="AI10" s="2">
        <v>10</v>
      </c>
      <c r="AJ10" s="3">
        <f t="shared" si="2"/>
        <v>10</v>
      </c>
      <c r="AK10" s="2">
        <f t="shared" si="7"/>
        <v>90</v>
      </c>
      <c r="AL10" s="2">
        <f t="shared" si="3"/>
        <v>30</v>
      </c>
      <c r="AM10" s="2">
        <f t="shared" si="4"/>
        <v>19</v>
      </c>
      <c r="AN10" s="2">
        <f t="shared" si="5"/>
        <v>49</v>
      </c>
      <c r="AO10" s="2" t="s">
        <v>39</v>
      </c>
      <c r="AP10" s="13"/>
    </row>
    <row r="11" spans="1:42">
      <c r="A11" s="2">
        <v>10</v>
      </c>
      <c r="B11" s="4" t="s">
        <v>15</v>
      </c>
      <c r="C11" s="2">
        <v>2</v>
      </c>
      <c r="E11" s="2">
        <v>0</v>
      </c>
      <c r="F11" s="2">
        <v>0</v>
      </c>
      <c r="G11" s="3">
        <f>ScoresTable[[#This Row],[Pre_Q2]]/30*10</f>
        <v>0</v>
      </c>
      <c r="H11" s="2">
        <v>0</v>
      </c>
      <c r="I11" s="2">
        <v>3</v>
      </c>
      <c r="J11" s="2">
        <v>0</v>
      </c>
      <c r="K11" s="2">
        <v>0</v>
      </c>
      <c r="L11" s="2">
        <v>0</v>
      </c>
      <c r="M11" s="2">
        <v>3</v>
      </c>
      <c r="N11" s="3">
        <f t="shared" si="0"/>
        <v>1</v>
      </c>
      <c r="O11" s="2">
        <f t="shared" si="8"/>
        <v>6</v>
      </c>
      <c r="P11" s="2">
        <v>0</v>
      </c>
      <c r="Q11" s="2">
        <v>0</v>
      </c>
      <c r="R11" s="3">
        <f>ScoresTable[[#This Row],[Post_Q2]]/30*10</f>
        <v>0</v>
      </c>
      <c r="S11" s="2">
        <v>0</v>
      </c>
      <c r="T11" s="2">
        <v>3</v>
      </c>
      <c r="U11" s="2">
        <v>3</v>
      </c>
      <c r="V11" s="2">
        <v>0</v>
      </c>
      <c r="W11" s="2">
        <v>0</v>
      </c>
      <c r="X11" s="2">
        <v>3</v>
      </c>
      <c r="Y11" s="3">
        <f t="shared" si="1"/>
        <v>1.5</v>
      </c>
      <c r="Z11" s="2">
        <f t="shared" si="6"/>
        <v>9</v>
      </c>
      <c r="AA11" s="2">
        <v>10</v>
      </c>
      <c r="AB11" s="2">
        <v>0</v>
      </c>
      <c r="AC11" s="3">
        <f>ScoresTable[[#This Row],[Transfer_Q2]]/30*10</f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3">
        <f t="shared" si="2"/>
        <v>0</v>
      </c>
      <c r="AK11" s="2">
        <f t="shared" si="7"/>
        <v>10</v>
      </c>
      <c r="AL11" s="2">
        <f t="shared" si="3"/>
        <v>3</v>
      </c>
      <c r="AM11" s="2">
        <f t="shared" si="4"/>
        <v>1</v>
      </c>
      <c r="AN11" s="2">
        <f t="shared" si="5"/>
        <v>4</v>
      </c>
      <c r="AO11" s="2" t="s">
        <v>39</v>
      </c>
    </row>
    <row r="12" spans="1:42">
      <c r="A12" s="2">
        <v>11</v>
      </c>
      <c r="B12" s="4" t="s">
        <v>16</v>
      </c>
      <c r="C12" s="2">
        <v>2</v>
      </c>
      <c r="E12" s="2">
        <v>10</v>
      </c>
      <c r="F12" s="2">
        <v>0</v>
      </c>
      <c r="G12" s="3">
        <f>ScoresTable[[#This Row],[Pre_Q2]]/30*10</f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3">
        <f t="shared" si="0"/>
        <v>0</v>
      </c>
      <c r="O12" s="2">
        <f t="shared" si="8"/>
        <v>10</v>
      </c>
      <c r="P12" s="2">
        <v>10</v>
      </c>
      <c r="Q12" s="2">
        <v>0</v>
      </c>
      <c r="R12" s="3">
        <f>ScoresTable[[#This Row],[Post_Q2]]/30*10</f>
        <v>0</v>
      </c>
      <c r="S12" s="2">
        <v>0</v>
      </c>
      <c r="T12" s="2">
        <v>10</v>
      </c>
      <c r="U12" s="2">
        <v>0</v>
      </c>
      <c r="V12" s="2">
        <v>0</v>
      </c>
      <c r="W12" s="2">
        <v>5</v>
      </c>
      <c r="X12" s="2">
        <v>8</v>
      </c>
      <c r="Y12" s="3">
        <f t="shared" si="1"/>
        <v>3.8333333333333335</v>
      </c>
      <c r="Z12" s="2">
        <f t="shared" si="6"/>
        <v>33</v>
      </c>
      <c r="AA12" s="2">
        <v>10</v>
      </c>
      <c r="AB12" s="2">
        <v>0</v>
      </c>
      <c r="AC12" s="3">
        <f>ScoresTable[[#This Row],[Transfer_Q2]]/30*10</f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3">
        <f t="shared" si="2"/>
        <v>0</v>
      </c>
      <c r="AK12" s="2">
        <f t="shared" si="7"/>
        <v>10</v>
      </c>
      <c r="AL12" s="2">
        <f t="shared" si="3"/>
        <v>23</v>
      </c>
      <c r="AM12" s="2">
        <f t="shared" si="4"/>
        <v>-23</v>
      </c>
      <c r="AN12" s="2">
        <f t="shared" si="5"/>
        <v>0</v>
      </c>
      <c r="AO12" s="2" t="s">
        <v>39</v>
      </c>
    </row>
    <row r="13" spans="1:42">
      <c r="A13" s="2">
        <v>12</v>
      </c>
      <c r="B13" s="4" t="s">
        <v>17</v>
      </c>
      <c r="C13" s="2">
        <v>1</v>
      </c>
      <c r="E13" s="2">
        <v>0</v>
      </c>
      <c r="F13" s="2">
        <v>0</v>
      </c>
      <c r="G13" s="3">
        <f>ScoresTable[[#This Row],[Pre_Q2]]/30*10</f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3">
        <f t="shared" si="0"/>
        <v>0</v>
      </c>
      <c r="O13" s="2">
        <f t="shared" si="8"/>
        <v>0</v>
      </c>
      <c r="P13" s="2">
        <v>0</v>
      </c>
      <c r="Q13" s="2">
        <v>30</v>
      </c>
      <c r="R13" s="3">
        <f>ScoresTable[[#This Row],[Post_Q2]]/30*10</f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3">
        <f t="shared" si="1"/>
        <v>0</v>
      </c>
      <c r="Z13" s="2">
        <f t="shared" si="6"/>
        <v>30</v>
      </c>
      <c r="AA13" s="2">
        <v>0</v>
      </c>
      <c r="AB13" s="2">
        <v>0</v>
      </c>
      <c r="AC13" s="3">
        <f>ScoresTable[[#This Row],[Transfer_Q2]]/30*10</f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3">
        <f t="shared" si="2"/>
        <v>0</v>
      </c>
      <c r="AK13" s="2">
        <f t="shared" si="7"/>
        <v>0</v>
      </c>
      <c r="AL13" s="2">
        <f t="shared" si="3"/>
        <v>30</v>
      </c>
      <c r="AM13" s="2">
        <f t="shared" si="4"/>
        <v>-30</v>
      </c>
      <c r="AN13" s="2">
        <f t="shared" si="5"/>
        <v>0</v>
      </c>
      <c r="AO13" s="2" t="s">
        <v>39</v>
      </c>
    </row>
    <row r="14" spans="1:42">
      <c r="A14" s="2">
        <v>13</v>
      </c>
      <c r="B14" s="4" t="s">
        <v>15</v>
      </c>
      <c r="C14" s="2">
        <v>1</v>
      </c>
      <c r="E14" s="2">
        <v>10</v>
      </c>
      <c r="F14" s="2">
        <v>0</v>
      </c>
      <c r="G14" s="3">
        <f>ScoresTable[[#This Row],[Pre_Q2]]/30*10</f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3">
        <f t="shared" si="0"/>
        <v>0</v>
      </c>
      <c r="O14" s="2">
        <f t="shared" si="8"/>
        <v>10</v>
      </c>
      <c r="P14" s="2">
        <v>10</v>
      </c>
      <c r="Q14" s="2">
        <v>20</v>
      </c>
      <c r="R14" s="3">
        <f>ScoresTable[[#This Row],[Post_Q2]]/30*10</f>
        <v>6.6666666666666661</v>
      </c>
      <c r="S14" s="2">
        <v>5</v>
      </c>
      <c r="T14" s="2">
        <v>3</v>
      </c>
      <c r="U14" s="2">
        <v>0</v>
      </c>
      <c r="V14" s="2">
        <v>0</v>
      </c>
      <c r="W14" s="2">
        <v>0</v>
      </c>
      <c r="X14" s="2">
        <v>3</v>
      </c>
      <c r="Y14" s="3">
        <f t="shared" si="1"/>
        <v>1.8333333333333333</v>
      </c>
      <c r="Z14" s="2">
        <f t="shared" si="6"/>
        <v>41</v>
      </c>
      <c r="AA14" s="2">
        <v>0</v>
      </c>
      <c r="AB14" s="2">
        <v>30</v>
      </c>
      <c r="AC14" s="3">
        <f>ScoresTable[[#This Row],[Transfer_Q2]]/30*10</f>
        <v>10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3">
        <f t="shared" si="2"/>
        <v>0</v>
      </c>
      <c r="AK14" s="2">
        <f t="shared" si="7"/>
        <v>30</v>
      </c>
      <c r="AL14" s="2">
        <f t="shared" si="3"/>
        <v>31</v>
      </c>
      <c r="AM14" s="2">
        <f t="shared" si="4"/>
        <v>-11</v>
      </c>
      <c r="AN14" s="2">
        <f t="shared" si="5"/>
        <v>20</v>
      </c>
      <c r="AO14" s="2" t="s">
        <v>39</v>
      </c>
    </row>
    <row r="15" spans="1:42">
      <c r="A15" s="2">
        <v>14</v>
      </c>
      <c r="B15" s="4" t="s">
        <v>16</v>
      </c>
      <c r="C15" s="2">
        <v>1</v>
      </c>
      <c r="D15" t="s">
        <v>37</v>
      </c>
      <c r="E15" s="2">
        <v>10</v>
      </c>
      <c r="F15" s="2">
        <v>0</v>
      </c>
      <c r="G15" s="3">
        <f>ScoresTable[[#This Row],[Pre_Q2]]/30*10</f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>
        <f t="shared" si="0"/>
        <v>0</v>
      </c>
      <c r="O15" s="2">
        <f t="shared" si="8"/>
        <v>10</v>
      </c>
      <c r="P15" s="2">
        <v>10</v>
      </c>
      <c r="Q15" s="2">
        <v>0</v>
      </c>
      <c r="R15" s="3">
        <f>ScoresTable[[#This Row],[Post_Q2]]/30*10</f>
        <v>0</v>
      </c>
      <c r="S15" s="2">
        <v>0</v>
      </c>
      <c r="T15" s="2">
        <v>3</v>
      </c>
      <c r="U15" s="2">
        <v>0</v>
      </c>
      <c r="V15" s="2">
        <v>0</v>
      </c>
      <c r="W15" s="2">
        <v>0</v>
      </c>
      <c r="X15" s="2">
        <v>3</v>
      </c>
      <c r="Y15" s="3">
        <f t="shared" si="1"/>
        <v>1</v>
      </c>
      <c r="Z15" s="2">
        <f t="shared" si="6"/>
        <v>16</v>
      </c>
      <c r="AA15" s="2">
        <v>0</v>
      </c>
      <c r="AB15" s="2">
        <v>20</v>
      </c>
      <c r="AC15" s="3">
        <f>ScoresTable[[#This Row],[Transfer_Q2]]/30*10</f>
        <v>6.6666666666666661</v>
      </c>
      <c r="AD15" s="2">
        <v>0</v>
      </c>
      <c r="AE15" s="2">
        <v>3</v>
      </c>
      <c r="AF15" s="2">
        <v>3</v>
      </c>
      <c r="AG15" s="2">
        <v>0</v>
      </c>
      <c r="AH15" s="2">
        <v>5</v>
      </c>
      <c r="AI15" s="2">
        <v>3</v>
      </c>
      <c r="AJ15" s="3">
        <f t="shared" si="2"/>
        <v>2.3333333333333335</v>
      </c>
      <c r="AK15" s="2">
        <f t="shared" si="7"/>
        <v>34</v>
      </c>
      <c r="AL15" s="2">
        <f t="shared" si="3"/>
        <v>6</v>
      </c>
      <c r="AM15" s="2">
        <f t="shared" si="4"/>
        <v>18</v>
      </c>
      <c r="AN15" s="2">
        <f t="shared" si="5"/>
        <v>24</v>
      </c>
      <c r="AO15" s="2" t="s">
        <v>39</v>
      </c>
    </row>
    <row r="16" spans="1:42">
      <c r="A16" s="2">
        <v>15</v>
      </c>
      <c r="B16" s="4" t="s">
        <v>17</v>
      </c>
      <c r="C16" s="2">
        <v>1</v>
      </c>
      <c r="E16" s="2">
        <v>10</v>
      </c>
      <c r="F16" s="2">
        <v>0</v>
      </c>
      <c r="G16" s="3">
        <f>ScoresTable[[#This Row],[Pre_Q2]]/30*10</f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3">
        <f t="shared" si="0"/>
        <v>0</v>
      </c>
      <c r="O16" s="2">
        <f t="shared" si="8"/>
        <v>10</v>
      </c>
      <c r="P16" s="2">
        <v>10</v>
      </c>
      <c r="Q16" s="2">
        <v>30</v>
      </c>
      <c r="R16" s="3">
        <f>ScoresTable[[#This Row],[Post_Q2]]/30*10</f>
        <v>10</v>
      </c>
      <c r="S16" s="2">
        <v>5</v>
      </c>
      <c r="T16" s="2">
        <v>5</v>
      </c>
      <c r="U16" s="2">
        <v>0</v>
      </c>
      <c r="V16" s="2">
        <v>5</v>
      </c>
      <c r="W16" s="2">
        <v>5</v>
      </c>
      <c r="X16" s="2">
        <v>5</v>
      </c>
      <c r="Y16" s="3">
        <f t="shared" si="1"/>
        <v>4.166666666666667</v>
      </c>
      <c r="Z16" s="2">
        <f t="shared" si="6"/>
        <v>65</v>
      </c>
      <c r="AA16" s="2">
        <v>10</v>
      </c>
      <c r="AB16" s="2">
        <v>30</v>
      </c>
      <c r="AC16" s="3">
        <f>ScoresTable[[#This Row],[Transfer_Q2]]/30*10</f>
        <v>10</v>
      </c>
      <c r="AD16" s="2">
        <v>0</v>
      </c>
      <c r="AE16" s="2">
        <v>10</v>
      </c>
      <c r="AF16" s="2">
        <v>5</v>
      </c>
      <c r="AG16" s="2">
        <v>5</v>
      </c>
      <c r="AH16" s="2">
        <v>5</v>
      </c>
      <c r="AI16" s="2">
        <v>5</v>
      </c>
      <c r="AJ16" s="3">
        <f t="shared" si="2"/>
        <v>5</v>
      </c>
      <c r="AK16" s="2">
        <f t="shared" si="7"/>
        <v>70</v>
      </c>
      <c r="AL16" s="2">
        <f t="shared" si="3"/>
        <v>55</v>
      </c>
      <c r="AM16" s="2">
        <f t="shared" si="4"/>
        <v>5</v>
      </c>
      <c r="AN16" s="2">
        <f t="shared" si="5"/>
        <v>60</v>
      </c>
      <c r="AO16" s="2" t="s">
        <v>39</v>
      </c>
    </row>
    <row r="17" spans="1:42">
      <c r="A17" s="2">
        <v>16</v>
      </c>
      <c r="B17" s="4" t="s">
        <v>15</v>
      </c>
      <c r="C17" s="2">
        <v>1</v>
      </c>
      <c r="E17" s="2">
        <v>10</v>
      </c>
      <c r="F17" s="2">
        <v>0</v>
      </c>
      <c r="G17" s="3">
        <f>ScoresTable[[#This Row],[Pre_Q2]]/30*10</f>
        <v>0</v>
      </c>
      <c r="H17" s="2">
        <v>5</v>
      </c>
      <c r="I17" s="2">
        <v>3</v>
      </c>
      <c r="J17" s="2">
        <v>0</v>
      </c>
      <c r="K17" s="2">
        <v>0</v>
      </c>
      <c r="L17" s="2">
        <v>5</v>
      </c>
      <c r="M17" s="2">
        <v>5</v>
      </c>
      <c r="N17" s="3">
        <f t="shared" si="0"/>
        <v>3</v>
      </c>
      <c r="O17" s="2">
        <f t="shared" si="8"/>
        <v>28</v>
      </c>
      <c r="P17" s="2">
        <v>10</v>
      </c>
      <c r="Q17" s="2">
        <v>10</v>
      </c>
      <c r="R17" s="3">
        <f>ScoresTable[[#This Row],[Post_Q2]]/30*10</f>
        <v>3.333333333333333</v>
      </c>
      <c r="S17" s="2">
        <v>0</v>
      </c>
      <c r="T17" s="2">
        <v>10</v>
      </c>
      <c r="U17" s="2">
        <v>5</v>
      </c>
      <c r="V17" s="2">
        <v>0</v>
      </c>
      <c r="W17" s="2">
        <v>5</v>
      </c>
      <c r="X17" s="2">
        <v>5</v>
      </c>
      <c r="Y17" s="3">
        <f t="shared" si="1"/>
        <v>4.166666666666667</v>
      </c>
      <c r="Z17" s="2">
        <f t="shared" si="6"/>
        <v>45</v>
      </c>
      <c r="AA17" s="2">
        <v>10</v>
      </c>
      <c r="AB17" s="2">
        <v>30</v>
      </c>
      <c r="AC17" s="3">
        <f>ScoresTable[[#This Row],[Transfer_Q2]]/30*10</f>
        <v>10</v>
      </c>
      <c r="AD17" s="2">
        <v>0</v>
      </c>
      <c r="AE17" s="2">
        <v>10</v>
      </c>
      <c r="AF17" s="2">
        <v>5</v>
      </c>
      <c r="AG17" s="2">
        <v>5</v>
      </c>
      <c r="AH17" s="2">
        <v>5</v>
      </c>
      <c r="AI17" s="2">
        <v>5</v>
      </c>
      <c r="AJ17" s="3">
        <f t="shared" si="2"/>
        <v>5</v>
      </c>
      <c r="AK17" s="2">
        <f t="shared" si="7"/>
        <v>70</v>
      </c>
      <c r="AL17" s="2">
        <f t="shared" si="3"/>
        <v>17</v>
      </c>
      <c r="AM17" s="2">
        <f t="shared" si="4"/>
        <v>25</v>
      </c>
      <c r="AN17" s="2">
        <f t="shared" si="5"/>
        <v>42</v>
      </c>
      <c r="AO17" s="2" t="s">
        <v>39</v>
      </c>
    </row>
    <row r="18" spans="1:42">
      <c r="A18" s="2">
        <v>17</v>
      </c>
      <c r="B18" s="4" t="s">
        <v>16</v>
      </c>
      <c r="C18" s="2">
        <v>1</v>
      </c>
      <c r="D18" t="s">
        <v>38</v>
      </c>
      <c r="E18" s="2">
        <v>10</v>
      </c>
      <c r="F18" s="2">
        <v>0</v>
      </c>
      <c r="G18" s="3">
        <f>ScoresTable[[#This Row],[Pre_Q2]]/30*10</f>
        <v>0</v>
      </c>
      <c r="H18" s="2">
        <v>0</v>
      </c>
      <c r="I18" s="2">
        <v>0</v>
      </c>
      <c r="J18" s="2">
        <v>0</v>
      </c>
      <c r="K18" s="2">
        <v>0</v>
      </c>
      <c r="L18" s="2">
        <v>5</v>
      </c>
      <c r="M18" s="2">
        <v>3</v>
      </c>
      <c r="N18" s="3">
        <f t="shared" si="0"/>
        <v>1.3333333333333333</v>
      </c>
      <c r="O18" s="2">
        <f t="shared" si="8"/>
        <v>18</v>
      </c>
      <c r="P18" s="2">
        <v>10</v>
      </c>
      <c r="Q18" s="2">
        <v>0</v>
      </c>
      <c r="R18" s="3">
        <f>ScoresTable[[#This Row],[Post_Q2]]/30*10</f>
        <v>0</v>
      </c>
      <c r="S18" s="2">
        <v>0</v>
      </c>
      <c r="T18" s="2">
        <v>3</v>
      </c>
      <c r="U18" s="2">
        <v>0</v>
      </c>
      <c r="V18" s="2">
        <v>0</v>
      </c>
      <c r="W18" s="2">
        <v>5</v>
      </c>
      <c r="X18" s="2">
        <v>3</v>
      </c>
      <c r="Y18" s="3">
        <f t="shared" si="1"/>
        <v>1.8333333333333333</v>
      </c>
      <c r="Z18" s="2">
        <f t="shared" si="6"/>
        <v>21</v>
      </c>
      <c r="AA18" s="2">
        <v>10</v>
      </c>
      <c r="AB18" s="2">
        <v>30</v>
      </c>
      <c r="AC18" s="3">
        <f>ScoresTable[[#This Row],[Transfer_Q2]]/30*10</f>
        <v>10</v>
      </c>
      <c r="AD18" s="2">
        <v>0</v>
      </c>
      <c r="AE18" s="2">
        <v>3</v>
      </c>
      <c r="AF18" s="2">
        <v>5</v>
      </c>
      <c r="AG18" s="2">
        <v>0</v>
      </c>
      <c r="AH18" s="2">
        <v>5</v>
      </c>
      <c r="AI18" s="2">
        <v>3</v>
      </c>
      <c r="AJ18" s="3">
        <f t="shared" si="2"/>
        <v>2.6666666666666665</v>
      </c>
      <c r="AK18" s="2">
        <f t="shared" si="7"/>
        <v>56</v>
      </c>
      <c r="AL18" s="2">
        <f t="shared" si="3"/>
        <v>3</v>
      </c>
      <c r="AM18" s="2">
        <f t="shared" si="4"/>
        <v>35</v>
      </c>
      <c r="AN18" s="2">
        <f t="shared" si="5"/>
        <v>38</v>
      </c>
      <c r="AO18" s="2" t="s">
        <v>39</v>
      </c>
    </row>
    <row r="19" spans="1:42">
      <c r="A19" s="2">
        <v>18</v>
      </c>
      <c r="B19" s="4" t="s">
        <v>17</v>
      </c>
      <c r="C19" s="2">
        <v>1</v>
      </c>
      <c r="D19" t="s">
        <v>40</v>
      </c>
      <c r="E19" s="2">
        <v>10</v>
      </c>
      <c r="F19" s="2">
        <v>20</v>
      </c>
      <c r="G19" s="3">
        <f>ScoresTable[[#This Row],[Pre_Q2]]/30*10</f>
        <v>6.6666666666666661</v>
      </c>
      <c r="H19" s="2">
        <v>10</v>
      </c>
      <c r="I19" s="2">
        <v>3</v>
      </c>
      <c r="J19" s="2">
        <v>0</v>
      </c>
      <c r="K19" s="2">
        <v>5</v>
      </c>
      <c r="L19" s="2">
        <v>10</v>
      </c>
      <c r="M19" s="2">
        <v>5</v>
      </c>
      <c r="N19" s="3">
        <f t="shared" si="0"/>
        <v>5.5</v>
      </c>
      <c r="O19" s="2">
        <f t="shared" si="8"/>
        <v>63</v>
      </c>
      <c r="P19" s="2">
        <v>10</v>
      </c>
      <c r="Q19" s="2">
        <v>30</v>
      </c>
      <c r="R19" s="3">
        <f>ScoresTable[[#This Row],[Post_Q2]]/30*10</f>
        <v>10</v>
      </c>
      <c r="S19" s="2">
        <v>10</v>
      </c>
      <c r="T19" s="2">
        <v>5</v>
      </c>
      <c r="U19" s="2">
        <v>5</v>
      </c>
      <c r="V19" s="2">
        <v>5</v>
      </c>
      <c r="W19" s="2">
        <v>10</v>
      </c>
      <c r="X19" s="2">
        <v>5</v>
      </c>
      <c r="Y19" s="3">
        <f t="shared" si="1"/>
        <v>6.6666666666666661</v>
      </c>
      <c r="Z19" s="2">
        <f t="shared" si="6"/>
        <v>80</v>
      </c>
      <c r="AA19" s="2">
        <v>10</v>
      </c>
      <c r="AB19" s="2">
        <v>30</v>
      </c>
      <c r="AC19" s="3">
        <f>ScoresTable[[#This Row],[Transfer_Q2]]/30*10</f>
        <v>10</v>
      </c>
      <c r="AD19" s="2">
        <v>10</v>
      </c>
      <c r="AE19" s="2">
        <v>10</v>
      </c>
      <c r="AF19" s="2">
        <v>10</v>
      </c>
      <c r="AG19" s="2">
        <v>10</v>
      </c>
      <c r="AH19" s="2">
        <v>10</v>
      </c>
      <c r="AI19" s="2">
        <v>8</v>
      </c>
      <c r="AJ19" s="3">
        <f t="shared" si="2"/>
        <v>9.6666666666666661</v>
      </c>
      <c r="AK19" s="2">
        <f t="shared" si="7"/>
        <v>98</v>
      </c>
      <c r="AL19" s="2">
        <f t="shared" si="3"/>
        <v>17</v>
      </c>
      <c r="AM19" s="2">
        <f t="shared" si="4"/>
        <v>18</v>
      </c>
      <c r="AN19" s="2">
        <f t="shared" si="5"/>
        <v>35</v>
      </c>
      <c r="AO19" s="2" t="s">
        <v>39</v>
      </c>
      <c r="AP19" s="13"/>
    </row>
    <row r="20" spans="1:42">
      <c r="A20" s="2">
        <v>19</v>
      </c>
      <c r="B20" s="4" t="s">
        <v>15</v>
      </c>
      <c r="C20" s="2">
        <v>1</v>
      </c>
      <c r="E20" s="2">
        <v>10</v>
      </c>
      <c r="F20" s="2">
        <v>0</v>
      </c>
      <c r="G20" s="3">
        <f>ScoresTable[[#This Row],[Pre_Q2]]/30*10</f>
        <v>0</v>
      </c>
      <c r="H20" s="2">
        <v>0</v>
      </c>
      <c r="I20" s="2">
        <v>3</v>
      </c>
      <c r="J20" s="2">
        <v>3</v>
      </c>
      <c r="K20" s="2">
        <v>0</v>
      </c>
      <c r="L20" s="2">
        <v>0</v>
      </c>
      <c r="M20" s="2">
        <v>5</v>
      </c>
      <c r="N20" s="3">
        <f t="shared" si="0"/>
        <v>1.8333333333333333</v>
      </c>
      <c r="O20" s="2">
        <f t="shared" si="8"/>
        <v>21</v>
      </c>
      <c r="P20" s="2">
        <v>10</v>
      </c>
      <c r="Q20" s="2">
        <v>20</v>
      </c>
      <c r="R20" s="3">
        <f>ScoresTable[[#This Row],[Post_Q2]]/30*10</f>
        <v>6.6666666666666661</v>
      </c>
      <c r="S20" s="2">
        <v>0</v>
      </c>
      <c r="T20" s="2">
        <v>10</v>
      </c>
      <c r="U20" s="2">
        <v>10</v>
      </c>
      <c r="V20" s="2">
        <v>5</v>
      </c>
      <c r="W20" s="2">
        <v>5</v>
      </c>
      <c r="X20" s="2">
        <v>8</v>
      </c>
      <c r="Y20" s="3">
        <f t="shared" si="1"/>
        <v>6.333333333333333</v>
      </c>
      <c r="Z20" s="2">
        <f t="shared" si="6"/>
        <v>68</v>
      </c>
      <c r="AA20" s="2">
        <v>10</v>
      </c>
      <c r="AB20" s="2">
        <v>0</v>
      </c>
      <c r="AC20" s="3">
        <f>ScoresTable[[#This Row],[Transfer_Q2]]/30*10</f>
        <v>0</v>
      </c>
      <c r="AD20" s="2">
        <v>0</v>
      </c>
      <c r="AE20" s="2">
        <v>10</v>
      </c>
      <c r="AF20" s="2">
        <v>10</v>
      </c>
      <c r="AG20" s="2">
        <v>5</v>
      </c>
      <c r="AH20" s="2">
        <v>5</v>
      </c>
      <c r="AI20" s="2">
        <v>8</v>
      </c>
      <c r="AJ20" s="3">
        <f t="shared" si="2"/>
        <v>6.333333333333333</v>
      </c>
      <c r="AK20" s="2">
        <f t="shared" si="7"/>
        <v>48</v>
      </c>
      <c r="AL20" s="2">
        <f t="shared" si="3"/>
        <v>47</v>
      </c>
      <c r="AM20" s="2">
        <f t="shared" si="4"/>
        <v>-20</v>
      </c>
      <c r="AN20" s="2">
        <f t="shared" si="5"/>
        <v>27</v>
      </c>
      <c r="AO20" s="2" t="s">
        <v>39</v>
      </c>
    </row>
    <row r="21" spans="1:42">
      <c r="A21" s="2">
        <v>20</v>
      </c>
      <c r="B21" s="4" t="s">
        <v>16</v>
      </c>
      <c r="C21" s="2">
        <v>1</v>
      </c>
      <c r="D21" t="s">
        <v>85</v>
      </c>
      <c r="E21" s="2">
        <v>10</v>
      </c>
      <c r="F21" s="2">
        <v>20</v>
      </c>
      <c r="G21" s="3">
        <f>ScoresTable[[#This Row],[Pre_Q2]]/30*10</f>
        <v>6.6666666666666661</v>
      </c>
      <c r="H21" s="2">
        <v>0</v>
      </c>
      <c r="I21" s="2">
        <v>3</v>
      </c>
      <c r="J21" s="2">
        <v>3</v>
      </c>
      <c r="K21" s="2">
        <v>0</v>
      </c>
      <c r="L21" s="2">
        <v>5</v>
      </c>
      <c r="M21" s="2">
        <v>5</v>
      </c>
      <c r="N21" s="3">
        <f t="shared" si="0"/>
        <v>2.6666666666666665</v>
      </c>
      <c r="O21" s="2">
        <f t="shared" si="8"/>
        <v>46</v>
      </c>
      <c r="P21" s="2">
        <v>10</v>
      </c>
      <c r="Q21" s="2">
        <v>0</v>
      </c>
      <c r="R21" s="3">
        <f>ScoresTable[[#This Row],[Post_Q2]]/30*10</f>
        <v>0</v>
      </c>
      <c r="S21" s="2">
        <v>0</v>
      </c>
      <c r="T21" s="2">
        <v>10</v>
      </c>
      <c r="U21" s="2">
        <v>0</v>
      </c>
      <c r="V21" s="2">
        <v>0</v>
      </c>
      <c r="W21" s="2">
        <v>5</v>
      </c>
      <c r="X21" s="2">
        <v>5</v>
      </c>
      <c r="Y21" s="3">
        <f t="shared" si="1"/>
        <v>3.333333333333333</v>
      </c>
      <c r="Z21" s="2">
        <f t="shared" si="6"/>
        <v>30</v>
      </c>
      <c r="AA21" s="2">
        <v>0</v>
      </c>
      <c r="AB21" s="2">
        <v>20</v>
      </c>
      <c r="AC21" s="3">
        <f>ScoresTable[[#This Row],[Transfer_Q2]]/30*10</f>
        <v>6.6666666666666661</v>
      </c>
      <c r="AD21" s="2">
        <v>0</v>
      </c>
      <c r="AE21" s="2">
        <v>5</v>
      </c>
      <c r="AF21" s="2">
        <v>5</v>
      </c>
      <c r="AG21" s="2">
        <v>5</v>
      </c>
      <c r="AH21" s="2">
        <v>5</v>
      </c>
      <c r="AI21" s="2">
        <v>8</v>
      </c>
      <c r="AJ21" s="3">
        <f t="shared" si="2"/>
        <v>4.666666666666667</v>
      </c>
      <c r="AK21" s="2">
        <f t="shared" si="7"/>
        <v>48</v>
      </c>
      <c r="AL21" s="2">
        <f t="shared" si="3"/>
        <v>-16</v>
      </c>
      <c r="AM21" s="2">
        <f t="shared" si="4"/>
        <v>18</v>
      </c>
      <c r="AN21" s="2">
        <f t="shared" si="5"/>
        <v>2</v>
      </c>
      <c r="AO21" s="2" t="s">
        <v>39</v>
      </c>
      <c r="AP21" s="13"/>
    </row>
    <row r="22" spans="1:42">
      <c r="A22" s="2">
        <v>21</v>
      </c>
      <c r="B22" s="4" t="s">
        <v>17</v>
      </c>
      <c r="C22" s="2">
        <v>1</v>
      </c>
      <c r="E22" s="2">
        <v>10</v>
      </c>
      <c r="F22" s="2">
        <v>0</v>
      </c>
      <c r="G22" s="3">
        <f>ScoresTable[[#This Row],[Pre_Q2]]/30*10</f>
        <v>0</v>
      </c>
      <c r="H22" s="2">
        <v>0</v>
      </c>
      <c r="I22" s="2">
        <v>3</v>
      </c>
      <c r="J22" s="2">
        <v>3</v>
      </c>
      <c r="K22" s="2">
        <v>0</v>
      </c>
      <c r="L22" s="2">
        <v>5</v>
      </c>
      <c r="M22" s="2">
        <v>5</v>
      </c>
      <c r="N22" s="3">
        <f t="shared" si="0"/>
        <v>2.6666666666666665</v>
      </c>
      <c r="O22" s="2">
        <f t="shared" si="8"/>
        <v>26</v>
      </c>
      <c r="P22" s="2">
        <v>10</v>
      </c>
      <c r="Q22" s="2">
        <v>30</v>
      </c>
      <c r="R22" s="3">
        <f>ScoresTable[[#This Row],[Post_Q2]]/30*10</f>
        <v>10</v>
      </c>
      <c r="S22" s="2">
        <v>0</v>
      </c>
      <c r="T22" s="2">
        <v>10</v>
      </c>
      <c r="U22" s="2">
        <v>10</v>
      </c>
      <c r="V22" s="2">
        <v>5</v>
      </c>
      <c r="W22" s="2">
        <v>0</v>
      </c>
      <c r="X22" s="2">
        <v>5</v>
      </c>
      <c r="Y22" s="3">
        <f t="shared" si="1"/>
        <v>5</v>
      </c>
      <c r="Z22" s="2">
        <f t="shared" si="6"/>
        <v>70</v>
      </c>
      <c r="AA22" s="2">
        <v>10</v>
      </c>
      <c r="AB22" s="2">
        <v>30</v>
      </c>
      <c r="AC22" s="3">
        <f>ScoresTable[[#This Row],[Transfer_Q2]]/30*10</f>
        <v>10</v>
      </c>
      <c r="AD22" s="2">
        <v>0</v>
      </c>
      <c r="AE22" s="2">
        <v>10</v>
      </c>
      <c r="AF22" s="2">
        <v>10</v>
      </c>
      <c r="AG22" s="2">
        <v>5</v>
      </c>
      <c r="AH22" s="2">
        <v>5</v>
      </c>
      <c r="AI22" s="2">
        <v>5</v>
      </c>
      <c r="AJ22" s="3">
        <f t="shared" si="2"/>
        <v>5.8333333333333339</v>
      </c>
      <c r="AK22" s="2">
        <f t="shared" si="7"/>
        <v>75</v>
      </c>
      <c r="AL22" s="2">
        <f t="shared" si="3"/>
        <v>44</v>
      </c>
      <c r="AM22" s="2">
        <f t="shared" si="4"/>
        <v>5</v>
      </c>
      <c r="AN22" s="2">
        <f t="shared" si="5"/>
        <v>49</v>
      </c>
      <c r="AO22" s="2" t="s">
        <v>39</v>
      </c>
    </row>
    <row r="23" spans="1:42">
      <c r="A23" s="2">
        <v>22</v>
      </c>
      <c r="B23" s="4" t="s">
        <v>15</v>
      </c>
      <c r="C23" s="2">
        <v>1</v>
      </c>
      <c r="E23" s="2">
        <v>10</v>
      </c>
      <c r="F23" s="2">
        <v>0</v>
      </c>
      <c r="G23" s="3">
        <f>ScoresTable[[#This Row],[Pre_Q2]]/30*10</f>
        <v>0</v>
      </c>
      <c r="H23" s="2">
        <v>0</v>
      </c>
      <c r="I23" s="2">
        <v>3</v>
      </c>
      <c r="J23" s="2">
        <v>3</v>
      </c>
      <c r="K23" s="2">
        <v>0</v>
      </c>
      <c r="L23" s="2">
        <v>5</v>
      </c>
      <c r="M23" s="2">
        <v>5</v>
      </c>
      <c r="N23" s="3">
        <f t="shared" si="0"/>
        <v>2.6666666666666665</v>
      </c>
      <c r="O23" s="2">
        <f t="shared" si="8"/>
        <v>26</v>
      </c>
      <c r="P23" s="2">
        <v>10</v>
      </c>
      <c r="Q23" s="2">
        <v>30</v>
      </c>
      <c r="R23" s="3">
        <f>ScoresTable[[#This Row],[Post_Q2]]/30*10</f>
        <v>10</v>
      </c>
      <c r="S23" s="2">
        <v>0</v>
      </c>
      <c r="T23" s="2">
        <v>10</v>
      </c>
      <c r="U23" s="2">
        <v>10</v>
      </c>
      <c r="V23" s="2">
        <v>5</v>
      </c>
      <c r="W23" s="2">
        <v>0</v>
      </c>
      <c r="X23" s="2">
        <v>5</v>
      </c>
      <c r="Y23" s="3">
        <f t="shared" si="1"/>
        <v>5</v>
      </c>
      <c r="Z23" s="2">
        <f t="shared" si="6"/>
        <v>70</v>
      </c>
      <c r="AA23" s="2">
        <v>0</v>
      </c>
      <c r="AB23" s="2">
        <v>30</v>
      </c>
      <c r="AC23" s="3">
        <f>ScoresTable[[#This Row],[Transfer_Q2]]/30*10</f>
        <v>10</v>
      </c>
      <c r="AD23" s="2">
        <v>0</v>
      </c>
      <c r="AE23" s="2">
        <v>10</v>
      </c>
      <c r="AF23" s="2">
        <v>5</v>
      </c>
      <c r="AG23" s="2">
        <v>5</v>
      </c>
      <c r="AH23" s="2">
        <v>5</v>
      </c>
      <c r="AI23" s="2">
        <v>5</v>
      </c>
      <c r="AJ23" s="3">
        <f t="shared" si="2"/>
        <v>5</v>
      </c>
      <c r="AK23" s="2">
        <f t="shared" si="7"/>
        <v>60</v>
      </c>
      <c r="AL23" s="2">
        <f t="shared" si="3"/>
        <v>44</v>
      </c>
      <c r="AM23" s="2">
        <f t="shared" si="4"/>
        <v>-10</v>
      </c>
      <c r="AN23" s="2">
        <f t="shared" si="5"/>
        <v>34</v>
      </c>
      <c r="AO23" s="2" t="s">
        <v>39</v>
      </c>
    </row>
    <row r="24" spans="1:42">
      <c r="A24" s="2">
        <v>23</v>
      </c>
      <c r="B24" s="4" t="s">
        <v>16</v>
      </c>
      <c r="C24" s="2">
        <v>1</v>
      </c>
      <c r="D24" t="s">
        <v>44</v>
      </c>
      <c r="E24" s="2">
        <v>10</v>
      </c>
      <c r="F24" s="2">
        <v>0</v>
      </c>
      <c r="G24" s="3">
        <f>ScoresTable[[#This Row],[Pre_Q2]]/30*10</f>
        <v>0</v>
      </c>
      <c r="H24" s="2">
        <v>0</v>
      </c>
      <c r="I24" s="2">
        <v>0</v>
      </c>
      <c r="J24" s="2">
        <v>0</v>
      </c>
      <c r="K24" s="2">
        <v>0</v>
      </c>
      <c r="L24" s="2">
        <v>5</v>
      </c>
      <c r="M24" s="2">
        <v>3</v>
      </c>
      <c r="N24" s="3">
        <f t="shared" si="0"/>
        <v>1.3333333333333333</v>
      </c>
      <c r="O24" s="2">
        <f t="shared" si="8"/>
        <v>18</v>
      </c>
      <c r="P24" s="2">
        <v>10</v>
      </c>
      <c r="Q24" s="2">
        <v>20</v>
      </c>
      <c r="R24" s="3">
        <f>ScoresTable[[#This Row],[Post_Q2]]/30*10</f>
        <v>6.6666666666666661</v>
      </c>
      <c r="S24" s="2">
        <v>0</v>
      </c>
      <c r="T24" s="2">
        <v>0</v>
      </c>
      <c r="U24" s="2">
        <v>0</v>
      </c>
      <c r="V24" s="2">
        <v>0</v>
      </c>
      <c r="W24" s="2">
        <v>5</v>
      </c>
      <c r="X24" s="2">
        <v>3</v>
      </c>
      <c r="Y24" s="3">
        <f t="shared" si="1"/>
        <v>1.3333333333333333</v>
      </c>
      <c r="Z24" s="2">
        <f t="shared" si="6"/>
        <v>38</v>
      </c>
      <c r="AA24" s="2">
        <v>10</v>
      </c>
      <c r="AB24" s="2">
        <v>30</v>
      </c>
      <c r="AC24" s="3">
        <f>ScoresTable[[#This Row],[Transfer_Q2]]/30*10</f>
        <v>10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3">
        <f t="shared" si="2"/>
        <v>0</v>
      </c>
      <c r="AK24" s="2">
        <f t="shared" si="7"/>
        <v>40</v>
      </c>
      <c r="AL24" s="2">
        <f t="shared" si="3"/>
        <v>20</v>
      </c>
      <c r="AM24" s="2">
        <f t="shared" si="4"/>
        <v>2</v>
      </c>
      <c r="AN24" s="2">
        <f t="shared" si="5"/>
        <v>22</v>
      </c>
      <c r="AO24" s="2" t="s">
        <v>39</v>
      </c>
    </row>
    <row r="25" spans="1:42">
      <c r="A25" s="2">
        <v>24</v>
      </c>
      <c r="B25" s="4" t="s">
        <v>17</v>
      </c>
      <c r="C25" s="2">
        <v>1</v>
      </c>
      <c r="D25" t="s">
        <v>41</v>
      </c>
      <c r="E25" s="2">
        <v>0</v>
      </c>
      <c r="F25" s="2">
        <v>20</v>
      </c>
      <c r="G25" s="3">
        <f>ScoresTable[[#This Row],[Pre_Q2]]/30*10</f>
        <v>6.6666666666666661</v>
      </c>
      <c r="H25" s="2">
        <v>0</v>
      </c>
      <c r="I25" s="2">
        <v>0</v>
      </c>
      <c r="J25" s="2">
        <v>0</v>
      </c>
      <c r="K25" s="2">
        <v>0</v>
      </c>
      <c r="L25" s="2">
        <v>5</v>
      </c>
      <c r="M25" s="2">
        <v>3</v>
      </c>
      <c r="N25" s="3">
        <f t="shared" si="0"/>
        <v>1.3333333333333333</v>
      </c>
      <c r="O25" s="2">
        <f t="shared" si="8"/>
        <v>28</v>
      </c>
      <c r="P25" s="2">
        <v>10</v>
      </c>
      <c r="Q25" s="2">
        <v>30</v>
      </c>
      <c r="R25" s="3">
        <f>ScoresTable[[#This Row],[Post_Q2]]/30*10</f>
        <v>10</v>
      </c>
      <c r="S25" s="2">
        <v>0</v>
      </c>
      <c r="T25" s="2">
        <v>0</v>
      </c>
      <c r="U25" s="2">
        <v>0</v>
      </c>
      <c r="V25" s="2">
        <v>0</v>
      </c>
      <c r="W25" s="2">
        <v>5</v>
      </c>
      <c r="X25" s="2">
        <v>3</v>
      </c>
      <c r="Y25" s="3">
        <f t="shared" si="1"/>
        <v>1.3333333333333333</v>
      </c>
      <c r="Z25" s="2">
        <f t="shared" si="6"/>
        <v>48</v>
      </c>
      <c r="AA25" s="2">
        <v>10</v>
      </c>
      <c r="AB25" s="2">
        <v>30</v>
      </c>
      <c r="AC25" s="3">
        <f>ScoresTable[[#This Row],[Transfer_Q2]]/30*10</f>
        <v>10</v>
      </c>
      <c r="AD25" s="2">
        <v>0</v>
      </c>
      <c r="AE25" s="2">
        <v>3</v>
      </c>
      <c r="AF25" s="2">
        <v>0</v>
      </c>
      <c r="AG25" s="2">
        <v>0</v>
      </c>
      <c r="AH25" s="2">
        <v>5</v>
      </c>
      <c r="AI25" s="2">
        <v>3</v>
      </c>
      <c r="AJ25" s="3">
        <f t="shared" si="2"/>
        <v>1.8333333333333333</v>
      </c>
      <c r="AK25" s="2">
        <f t="shared" si="7"/>
        <v>51</v>
      </c>
      <c r="AL25" s="2">
        <f t="shared" si="3"/>
        <v>20</v>
      </c>
      <c r="AM25" s="2">
        <f t="shared" si="4"/>
        <v>3</v>
      </c>
      <c r="AN25" s="2">
        <f t="shared" si="5"/>
        <v>23</v>
      </c>
      <c r="AO25" s="2" t="s">
        <v>39</v>
      </c>
    </row>
    <row r="26" spans="1:42">
      <c r="A26" s="2">
        <v>25</v>
      </c>
      <c r="B26" s="4" t="s">
        <v>15</v>
      </c>
      <c r="C26" s="2">
        <v>2</v>
      </c>
      <c r="E26" s="2">
        <v>10</v>
      </c>
      <c r="F26" s="2">
        <v>0</v>
      </c>
      <c r="G26" s="3">
        <f>ScoresTable[[#This Row],[Pre_Q2]]/30*10</f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3">
        <f t="shared" si="0"/>
        <v>0</v>
      </c>
      <c r="O26" s="2">
        <f t="shared" si="8"/>
        <v>10</v>
      </c>
      <c r="P26" s="2">
        <v>10</v>
      </c>
      <c r="Q26" s="2">
        <v>5</v>
      </c>
      <c r="R26" s="3">
        <f>ScoresTable[[#This Row],[Post_Q2]]/30*10</f>
        <v>1.6666666666666665</v>
      </c>
      <c r="S26" s="2">
        <v>0</v>
      </c>
      <c r="T26" s="2">
        <v>3</v>
      </c>
      <c r="U26" s="2">
        <v>0</v>
      </c>
      <c r="V26" s="2">
        <v>0</v>
      </c>
      <c r="W26" s="2">
        <v>0</v>
      </c>
      <c r="X26" s="2">
        <v>3</v>
      </c>
      <c r="Y26" s="3">
        <f t="shared" si="1"/>
        <v>1</v>
      </c>
      <c r="Z26" s="2">
        <f t="shared" si="6"/>
        <v>21</v>
      </c>
      <c r="AA26" s="2">
        <v>10</v>
      </c>
      <c r="AB26" s="2">
        <v>5</v>
      </c>
      <c r="AC26" s="3">
        <f>ScoresTable[[#This Row],[Transfer_Q2]]/30*10</f>
        <v>1.6666666666666665</v>
      </c>
      <c r="AD26" s="2">
        <v>0</v>
      </c>
      <c r="AE26" s="2">
        <v>5</v>
      </c>
      <c r="AF26" s="2">
        <v>0</v>
      </c>
      <c r="AG26" s="2">
        <v>0</v>
      </c>
      <c r="AH26" s="2">
        <v>0</v>
      </c>
      <c r="AI26" s="2">
        <v>3</v>
      </c>
      <c r="AJ26" s="3">
        <f t="shared" si="2"/>
        <v>1.3333333333333333</v>
      </c>
      <c r="AK26" s="2">
        <f t="shared" si="7"/>
        <v>23</v>
      </c>
      <c r="AL26" s="2">
        <f t="shared" si="3"/>
        <v>11</v>
      </c>
      <c r="AM26" s="2">
        <f t="shared" si="4"/>
        <v>2</v>
      </c>
      <c r="AN26" s="2">
        <f t="shared" si="5"/>
        <v>13</v>
      </c>
      <c r="AO26" s="2" t="s">
        <v>39</v>
      </c>
    </row>
    <row r="27" spans="1:42">
      <c r="A27" s="2">
        <v>26</v>
      </c>
      <c r="B27" s="4" t="s">
        <v>16</v>
      </c>
      <c r="C27" s="2">
        <v>2</v>
      </c>
      <c r="D27" t="s">
        <v>44</v>
      </c>
      <c r="E27" s="2">
        <v>10</v>
      </c>
      <c r="F27" s="2">
        <v>0</v>
      </c>
      <c r="G27" s="3">
        <f>ScoresTable[[#This Row],[Pre_Q2]]/30*10</f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3">
        <f t="shared" si="0"/>
        <v>0</v>
      </c>
      <c r="O27" s="2">
        <f t="shared" si="8"/>
        <v>10</v>
      </c>
      <c r="P27" s="2">
        <v>10</v>
      </c>
      <c r="Q27" s="2">
        <v>5</v>
      </c>
      <c r="R27" s="3">
        <f>ScoresTable[[#This Row],[Post_Q2]]/30*10</f>
        <v>1.6666666666666665</v>
      </c>
      <c r="S27" s="2">
        <v>0</v>
      </c>
      <c r="T27" s="2">
        <v>3</v>
      </c>
      <c r="U27" s="2">
        <v>10</v>
      </c>
      <c r="V27" s="2">
        <v>0</v>
      </c>
      <c r="W27" s="2">
        <v>5</v>
      </c>
      <c r="X27" s="2">
        <v>8</v>
      </c>
      <c r="Y27" s="3">
        <f t="shared" si="1"/>
        <v>4.3333333333333339</v>
      </c>
      <c r="Z27" s="2">
        <f t="shared" si="6"/>
        <v>41</v>
      </c>
      <c r="AA27" s="2">
        <v>0</v>
      </c>
      <c r="AB27" s="2">
        <v>30</v>
      </c>
      <c r="AC27" s="3">
        <f>ScoresTable[[#This Row],[Transfer_Q2]]/30*10</f>
        <v>10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3">
        <f t="shared" si="2"/>
        <v>0</v>
      </c>
      <c r="AK27" s="2">
        <f t="shared" si="7"/>
        <v>30</v>
      </c>
      <c r="AL27" s="2">
        <f t="shared" si="3"/>
        <v>31</v>
      </c>
      <c r="AM27" s="2">
        <f t="shared" si="4"/>
        <v>-11</v>
      </c>
      <c r="AN27" s="2">
        <f t="shared" si="5"/>
        <v>20</v>
      </c>
      <c r="AO27" s="2" t="s">
        <v>39</v>
      </c>
    </row>
    <row r="28" spans="1:42">
      <c r="A28" s="2">
        <v>27</v>
      </c>
      <c r="B28" s="4" t="s">
        <v>17</v>
      </c>
      <c r="C28" s="2">
        <v>2</v>
      </c>
      <c r="D28" t="s">
        <v>44</v>
      </c>
      <c r="E28" s="2">
        <v>10</v>
      </c>
      <c r="F28" s="2">
        <v>30</v>
      </c>
      <c r="G28" s="3">
        <f>ScoresTable[[#This Row],[Pre_Q2]]/30*10</f>
        <v>10</v>
      </c>
      <c r="H28" s="2">
        <v>0</v>
      </c>
      <c r="I28" s="2">
        <v>0</v>
      </c>
      <c r="J28" s="2">
        <v>3</v>
      </c>
      <c r="K28" s="2">
        <v>0</v>
      </c>
      <c r="L28" s="2">
        <v>5</v>
      </c>
      <c r="M28" s="2">
        <v>3</v>
      </c>
      <c r="N28" s="3">
        <f t="shared" si="0"/>
        <v>1.8333333333333333</v>
      </c>
      <c r="O28" s="2">
        <f t="shared" si="8"/>
        <v>51</v>
      </c>
      <c r="P28" s="2">
        <v>10</v>
      </c>
      <c r="Q28" s="2">
        <v>30</v>
      </c>
      <c r="R28" s="3">
        <f>ScoresTable[[#This Row],[Post_Q2]]/30*10</f>
        <v>10</v>
      </c>
      <c r="S28" s="2">
        <v>0</v>
      </c>
      <c r="T28" s="2">
        <v>0</v>
      </c>
      <c r="U28" s="2">
        <v>3</v>
      </c>
      <c r="V28" s="2">
        <v>0</v>
      </c>
      <c r="W28" s="2">
        <v>5</v>
      </c>
      <c r="X28" s="2">
        <v>3</v>
      </c>
      <c r="Y28" s="3">
        <f t="shared" si="1"/>
        <v>1.8333333333333333</v>
      </c>
      <c r="Z28" s="2">
        <f t="shared" si="6"/>
        <v>51</v>
      </c>
      <c r="AA28" s="2">
        <v>0</v>
      </c>
      <c r="AB28" s="2">
        <v>0</v>
      </c>
      <c r="AC28" s="3">
        <f>ScoresTable[[#This Row],[Transfer_Q2]]/30*10</f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3">
        <f t="shared" si="2"/>
        <v>0</v>
      </c>
      <c r="AK28" s="2">
        <f t="shared" si="7"/>
        <v>0</v>
      </c>
      <c r="AL28" s="2">
        <f t="shared" si="3"/>
        <v>0</v>
      </c>
      <c r="AM28" s="2">
        <f t="shared" si="4"/>
        <v>-51</v>
      </c>
      <c r="AN28" s="2">
        <f t="shared" si="5"/>
        <v>-51</v>
      </c>
      <c r="AO28" s="2" t="s">
        <v>39</v>
      </c>
    </row>
    <row r="29" spans="1:42">
      <c r="A29" s="2">
        <v>28</v>
      </c>
      <c r="B29" s="4" t="s">
        <v>15</v>
      </c>
      <c r="C29" s="2">
        <v>2</v>
      </c>
      <c r="D29" t="s">
        <v>44</v>
      </c>
      <c r="E29" s="2">
        <v>10</v>
      </c>
      <c r="F29" s="2">
        <v>30</v>
      </c>
      <c r="G29" s="3">
        <f>ScoresTable[[#This Row],[Pre_Q2]]/30*10</f>
        <v>10</v>
      </c>
      <c r="H29" s="2">
        <v>0</v>
      </c>
      <c r="I29" s="2">
        <v>0</v>
      </c>
      <c r="J29" s="2">
        <v>3</v>
      </c>
      <c r="K29" s="2">
        <v>0</v>
      </c>
      <c r="L29" s="2">
        <v>5</v>
      </c>
      <c r="M29" s="2">
        <v>3</v>
      </c>
      <c r="N29" s="3">
        <f t="shared" si="0"/>
        <v>1.8333333333333333</v>
      </c>
      <c r="O29" s="2">
        <f t="shared" si="8"/>
        <v>51</v>
      </c>
      <c r="P29" s="2">
        <v>10</v>
      </c>
      <c r="Q29" s="2">
        <v>30</v>
      </c>
      <c r="R29" s="3">
        <f>ScoresTable[[#This Row],[Post_Q2]]/30*10</f>
        <v>10</v>
      </c>
      <c r="S29" s="2">
        <v>0</v>
      </c>
      <c r="T29" s="2">
        <v>0</v>
      </c>
      <c r="U29" s="2">
        <v>3</v>
      </c>
      <c r="V29" s="2">
        <v>0</v>
      </c>
      <c r="W29" s="2">
        <v>5</v>
      </c>
      <c r="X29" s="2">
        <v>3</v>
      </c>
      <c r="Y29" s="3">
        <f t="shared" si="1"/>
        <v>1.8333333333333333</v>
      </c>
      <c r="Z29" s="2">
        <f t="shared" si="6"/>
        <v>51</v>
      </c>
      <c r="AA29" s="2">
        <v>0</v>
      </c>
      <c r="AB29" s="2">
        <v>30</v>
      </c>
      <c r="AC29" s="3">
        <f>ScoresTable[[#This Row],[Transfer_Q2]]/30*10</f>
        <v>10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3">
        <f t="shared" si="2"/>
        <v>0</v>
      </c>
      <c r="AK29" s="2">
        <f t="shared" si="7"/>
        <v>30</v>
      </c>
      <c r="AL29" s="2">
        <f t="shared" si="3"/>
        <v>0</v>
      </c>
      <c r="AM29" s="2">
        <f t="shared" si="4"/>
        <v>-21</v>
      </c>
      <c r="AN29" s="2">
        <f t="shared" si="5"/>
        <v>-21</v>
      </c>
      <c r="AO29" s="2" t="s">
        <v>39</v>
      </c>
    </row>
    <row r="30" spans="1:42">
      <c r="A30" s="2">
        <v>29</v>
      </c>
      <c r="B30" s="4" t="s">
        <v>16</v>
      </c>
      <c r="C30" s="2">
        <v>2</v>
      </c>
      <c r="E30" s="2">
        <v>10</v>
      </c>
      <c r="F30" s="2">
        <v>30</v>
      </c>
      <c r="G30" s="3">
        <f>ScoresTable[[#This Row],[Pre_Q2]]/30*10</f>
        <v>10</v>
      </c>
      <c r="H30" s="2">
        <v>0</v>
      </c>
      <c r="I30" s="2">
        <v>3</v>
      </c>
      <c r="J30" s="2">
        <v>3</v>
      </c>
      <c r="K30" s="2">
        <v>0</v>
      </c>
      <c r="L30" s="2">
        <v>5</v>
      </c>
      <c r="M30" s="2">
        <v>3</v>
      </c>
      <c r="N30" s="3">
        <f t="shared" si="0"/>
        <v>2.3333333333333335</v>
      </c>
      <c r="O30" s="2">
        <f t="shared" si="8"/>
        <v>54</v>
      </c>
      <c r="P30" s="2">
        <v>10</v>
      </c>
      <c r="Q30" s="2">
        <v>30</v>
      </c>
      <c r="R30" s="3">
        <f>ScoresTable[[#This Row],[Post_Q2]]/30*10</f>
        <v>10</v>
      </c>
      <c r="S30" s="2">
        <v>0</v>
      </c>
      <c r="T30" s="2">
        <v>3</v>
      </c>
      <c r="U30" s="2">
        <v>3</v>
      </c>
      <c r="V30" s="2">
        <v>0</v>
      </c>
      <c r="W30" s="2">
        <v>5</v>
      </c>
      <c r="X30" s="2">
        <v>3</v>
      </c>
      <c r="Y30" s="3">
        <f t="shared" si="1"/>
        <v>2.3333333333333335</v>
      </c>
      <c r="Z30" s="2">
        <f t="shared" si="6"/>
        <v>54</v>
      </c>
      <c r="AA30" s="2">
        <v>0</v>
      </c>
      <c r="AB30" s="2">
        <v>30</v>
      </c>
      <c r="AC30" s="3">
        <f>ScoresTable[[#This Row],[Transfer_Q2]]/30*10</f>
        <v>10</v>
      </c>
      <c r="AD30" s="2">
        <v>0</v>
      </c>
      <c r="AE30" s="2">
        <v>3</v>
      </c>
      <c r="AF30" s="2">
        <v>3</v>
      </c>
      <c r="AG30" s="2">
        <v>0</v>
      </c>
      <c r="AH30" s="2">
        <v>5</v>
      </c>
      <c r="AI30" s="2">
        <v>3</v>
      </c>
      <c r="AJ30" s="3">
        <f t="shared" si="2"/>
        <v>2.3333333333333335</v>
      </c>
      <c r="AK30" s="2">
        <f t="shared" si="7"/>
        <v>44</v>
      </c>
      <c r="AL30" s="2">
        <f t="shared" si="3"/>
        <v>0</v>
      </c>
      <c r="AM30" s="2">
        <f t="shared" si="4"/>
        <v>-10</v>
      </c>
      <c r="AN30" s="2">
        <f t="shared" si="5"/>
        <v>-10</v>
      </c>
      <c r="AO30" s="2" t="s">
        <v>39</v>
      </c>
    </row>
    <row r="31" spans="1:42">
      <c r="A31" s="2">
        <v>30</v>
      </c>
      <c r="B31" s="4" t="s">
        <v>17</v>
      </c>
      <c r="C31" s="2">
        <v>2</v>
      </c>
      <c r="E31" s="2">
        <v>10</v>
      </c>
      <c r="F31" s="2">
        <v>30</v>
      </c>
      <c r="G31" s="3">
        <f>ScoresTable[[#This Row],[Pre_Q2]]/30*10</f>
        <v>10</v>
      </c>
      <c r="H31" s="2">
        <v>0</v>
      </c>
      <c r="I31" s="2">
        <v>0</v>
      </c>
      <c r="J31" s="2">
        <v>0</v>
      </c>
      <c r="K31" s="2">
        <v>0</v>
      </c>
      <c r="L31" s="2">
        <v>5</v>
      </c>
      <c r="M31" s="2">
        <v>3</v>
      </c>
      <c r="N31" s="3">
        <f t="shared" si="0"/>
        <v>1.3333333333333333</v>
      </c>
      <c r="O31" s="2">
        <f t="shared" si="8"/>
        <v>48</v>
      </c>
      <c r="P31" s="2">
        <v>10</v>
      </c>
      <c r="Q31" s="2">
        <v>30</v>
      </c>
      <c r="R31" s="3">
        <f>ScoresTable[[#This Row],[Post_Q2]]/30*10</f>
        <v>10</v>
      </c>
      <c r="S31" s="2">
        <v>0</v>
      </c>
      <c r="T31" s="2">
        <v>5</v>
      </c>
      <c r="U31" s="2">
        <v>10</v>
      </c>
      <c r="V31" s="2">
        <v>5</v>
      </c>
      <c r="W31" s="2">
        <v>5</v>
      </c>
      <c r="X31" s="2">
        <v>5</v>
      </c>
      <c r="Y31" s="3">
        <f t="shared" si="1"/>
        <v>5</v>
      </c>
      <c r="Z31" s="2">
        <f t="shared" si="6"/>
        <v>70</v>
      </c>
      <c r="AA31" s="2">
        <v>0</v>
      </c>
      <c r="AB31" s="2">
        <v>30</v>
      </c>
      <c r="AC31" s="3">
        <f>ScoresTable[[#This Row],[Transfer_Q2]]/30*10</f>
        <v>10</v>
      </c>
      <c r="AD31" s="2">
        <v>0</v>
      </c>
      <c r="AE31" s="2">
        <v>10</v>
      </c>
      <c r="AF31" s="2">
        <v>10</v>
      </c>
      <c r="AG31" s="2">
        <v>0</v>
      </c>
      <c r="AH31" s="2">
        <v>5</v>
      </c>
      <c r="AI31" s="2">
        <v>5</v>
      </c>
      <c r="AJ31" s="3">
        <f t="shared" si="2"/>
        <v>5</v>
      </c>
      <c r="AK31" s="2">
        <f t="shared" si="7"/>
        <v>60</v>
      </c>
      <c r="AL31" s="2">
        <f t="shared" si="3"/>
        <v>22</v>
      </c>
      <c r="AM31" s="2">
        <f t="shared" si="4"/>
        <v>-10</v>
      </c>
      <c r="AN31" s="2">
        <f t="shared" si="5"/>
        <v>12</v>
      </c>
      <c r="AO31" s="2" t="s">
        <v>39</v>
      </c>
    </row>
    <row r="32" spans="1:42">
      <c r="A32" s="2">
        <v>31</v>
      </c>
      <c r="B32" s="4" t="s">
        <v>15</v>
      </c>
      <c r="C32" s="2">
        <v>2</v>
      </c>
      <c r="E32" s="2">
        <v>10</v>
      </c>
      <c r="F32" s="2">
        <v>0</v>
      </c>
      <c r="G32" s="3">
        <f>ScoresTable[[#This Row],[Pre_Q2]]/30*10</f>
        <v>0</v>
      </c>
      <c r="H32" s="2">
        <v>0</v>
      </c>
      <c r="I32" s="2">
        <v>0</v>
      </c>
      <c r="J32" s="2">
        <v>3</v>
      </c>
      <c r="K32" s="2">
        <v>0</v>
      </c>
      <c r="L32" s="2">
        <v>0</v>
      </c>
      <c r="M32" s="2">
        <v>3</v>
      </c>
      <c r="N32" s="3">
        <f t="shared" si="0"/>
        <v>1</v>
      </c>
      <c r="O32" s="2">
        <f t="shared" si="8"/>
        <v>16</v>
      </c>
      <c r="P32" s="2">
        <v>10</v>
      </c>
      <c r="Q32" s="2">
        <v>30</v>
      </c>
      <c r="R32" s="3">
        <f>ScoresTable[[#This Row],[Post_Q2]]/30*10</f>
        <v>10</v>
      </c>
      <c r="S32" s="2">
        <v>0</v>
      </c>
      <c r="T32" s="2">
        <v>3</v>
      </c>
      <c r="U32" s="2">
        <v>10</v>
      </c>
      <c r="V32" s="2">
        <v>0</v>
      </c>
      <c r="W32" s="2">
        <v>5</v>
      </c>
      <c r="X32" s="2">
        <v>5</v>
      </c>
      <c r="Y32" s="3">
        <f t="shared" si="1"/>
        <v>3.8333333333333335</v>
      </c>
      <c r="Z32" s="2">
        <f t="shared" si="6"/>
        <v>63</v>
      </c>
      <c r="AA32" s="2">
        <v>10</v>
      </c>
      <c r="AB32" s="2">
        <v>0</v>
      </c>
      <c r="AC32" s="3">
        <f>ScoresTable[[#This Row],[Transfer_Q2]]/30*10</f>
        <v>0</v>
      </c>
      <c r="AD32" s="2">
        <v>0</v>
      </c>
      <c r="AE32" s="2">
        <v>5</v>
      </c>
      <c r="AF32" s="2">
        <v>5</v>
      </c>
      <c r="AG32" s="2">
        <v>0</v>
      </c>
      <c r="AH32" s="2">
        <v>0</v>
      </c>
      <c r="AI32" s="2">
        <v>5</v>
      </c>
      <c r="AJ32" s="3">
        <f t="shared" si="2"/>
        <v>2.5</v>
      </c>
      <c r="AK32" s="2">
        <f t="shared" si="7"/>
        <v>25</v>
      </c>
      <c r="AL32" s="2">
        <f t="shared" si="3"/>
        <v>47</v>
      </c>
      <c r="AM32" s="2">
        <f t="shared" si="4"/>
        <v>-38</v>
      </c>
      <c r="AN32" s="2">
        <f t="shared" si="5"/>
        <v>9</v>
      </c>
      <c r="AO32" s="2" t="s">
        <v>39</v>
      </c>
    </row>
    <row r="33" spans="1:41">
      <c r="A33" s="2">
        <v>32</v>
      </c>
      <c r="B33" s="4" t="s">
        <v>16</v>
      </c>
      <c r="C33" s="2">
        <v>2</v>
      </c>
      <c r="E33" s="2">
        <v>0</v>
      </c>
      <c r="F33" s="2">
        <v>0</v>
      </c>
      <c r="G33" s="3">
        <f>ScoresTable[[#This Row],[Pre_Q2]]/30*10</f>
        <v>0</v>
      </c>
      <c r="H33" s="2">
        <v>0</v>
      </c>
      <c r="I33" s="2">
        <v>3</v>
      </c>
      <c r="J33" s="2">
        <v>3</v>
      </c>
      <c r="K33" s="2">
        <v>5</v>
      </c>
      <c r="L33" s="2">
        <v>5</v>
      </c>
      <c r="M33" s="2">
        <v>5</v>
      </c>
      <c r="N33" s="3">
        <f t="shared" si="0"/>
        <v>3.5</v>
      </c>
      <c r="O33" s="2">
        <f t="shared" si="8"/>
        <v>21</v>
      </c>
      <c r="P33" s="2">
        <v>10</v>
      </c>
      <c r="Q33" s="2">
        <v>30</v>
      </c>
      <c r="R33" s="3">
        <f>ScoresTable[[#This Row],[Post_Q2]]/30*10</f>
        <v>10</v>
      </c>
      <c r="S33" s="2">
        <v>0</v>
      </c>
      <c r="T33" s="2">
        <v>5</v>
      </c>
      <c r="U33" s="2">
        <v>8</v>
      </c>
      <c r="V33" s="2">
        <v>0</v>
      </c>
      <c r="W33" s="2">
        <v>5</v>
      </c>
      <c r="X33" s="2">
        <v>5</v>
      </c>
      <c r="Y33" s="3">
        <f t="shared" si="1"/>
        <v>3.8333333333333335</v>
      </c>
      <c r="Z33" s="2">
        <f t="shared" si="6"/>
        <v>63</v>
      </c>
      <c r="AA33" s="2">
        <v>10</v>
      </c>
      <c r="AB33" s="2">
        <v>30</v>
      </c>
      <c r="AC33" s="3">
        <f>ScoresTable[[#This Row],[Transfer_Q2]]/30*10</f>
        <v>10</v>
      </c>
      <c r="AD33" s="2">
        <v>0</v>
      </c>
      <c r="AE33" s="2">
        <v>5</v>
      </c>
      <c r="AF33" s="2">
        <v>8</v>
      </c>
      <c r="AG33" s="2">
        <v>3</v>
      </c>
      <c r="AH33" s="2">
        <v>5</v>
      </c>
      <c r="AI33" s="2">
        <v>5</v>
      </c>
      <c r="AJ33" s="3">
        <f t="shared" si="2"/>
        <v>4.3333333333333339</v>
      </c>
      <c r="AK33" s="2">
        <f t="shared" si="7"/>
        <v>66</v>
      </c>
      <c r="AL33" s="2">
        <f t="shared" si="3"/>
        <v>42</v>
      </c>
      <c r="AM33" s="2">
        <f t="shared" si="4"/>
        <v>3</v>
      </c>
      <c r="AN33" s="2">
        <f t="shared" si="5"/>
        <v>45</v>
      </c>
      <c r="AO33" s="2" t="s">
        <v>39</v>
      </c>
    </row>
    <row r="34" spans="1:41">
      <c r="A34" s="2">
        <v>33</v>
      </c>
      <c r="B34" s="4" t="s">
        <v>17</v>
      </c>
      <c r="C34" s="2">
        <v>2</v>
      </c>
      <c r="E34" s="2">
        <v>0</v>
      </c>
      <c r="F34" s="2">
        <v>20</v>
      </c>
      <c r="G34" s="3">
        <f>ScoresTable[[#This Row],[Pre_Q2]]/30*10</f>
        <v>6.6666666666666661</v>
      </c>
      <c r="H34" s="2">
        <v>0</v>
      </c>
      <c r="I34" s="2">
        <v>0</v>
      </c>
      <c r="J34" s="2">
        <v>3</v>
      </c>
      <c r="K34" s="2">
        <v>0</v>
      </c>
      <c r="L34" s="2">
        <v>5</v>
      </c>
      <c r="M34" s="2">
        <v>3</v>
      </c>
      <c r="N34" s="3">
        <f t="shared" si="0"/>
        <v>1.8333333333333333</v>
      </c>
      <c r="O34" s="2">
        <f t="shared" si="8"/>
        <v>31</v>
      </c>
      <c r="P34" s="2">
        <v>0</v>
      </c>
      <c r="Q34" s="2">
        <v>20</v>
      </c>
      <c r="R34" s="3">
        <f>ScoresTable[[#This Row],[Post_Q2]]/30*10</f>
        <v>6.6666666666666661</v>
      </c>
      <c r="S34" s="2">
        <v>0</v>
      </c>
      <c r="T34" s="2">
        <v>0</v>
      </c>
      <c r="U34" s="2">
        <v>0</v>
      </c>
      <c r="V34" s="2">
        <v>0</v>
      </c>
      <c r="W34" s="2">
        <v>5</v>
      </c>
      <c r="X34" s="2">
        <v>3</v>
      </c>
      <c r="Y34" s="3">
        <f t="shared" si="1"/>
        <v>1.3333333333333333</v>
      </c>
      <c r="Z34" s="2">
        <f t="shared" si="6"/>
        <v>28</v>
      </c>
      <c r="AA34" s="2">
        <v>0</v>
      </c>
      <c r="AB34" s="2">
        <v>5</v>
      </c>
      <c r="AC34" s="3">
        <f>ScoresTable[[#This Row],[Transfer_Q2]]/30*10</f>
        <v>1.6666666666666665</v>
      </c>
      <c r="AD34" s="2">
        <v>0</v>
      </c>
      <c r="AE34" s="2">
        <v>0</v>
      </c>
      <c r="AF34" s="2">
        <v>0</v>
      </c>
      <c r="AG34" s="2">
        <v>0</v>
      </c>
      <c r="AH34" s="2">
        <v>5</v>
      </c>
      <c r="AI34" s="2">
        <v>3</v>
      </c>
      <c r="AJ34" s="3">
        <f t="shared" si="2"/>
        <v>1.3333333333333333</v>
      </c>
      <c r="AK34" s="2">
        <f t="shared" si="7"/>
        <v>13</v>
      </c>
      <c r="AL34" s="2">
        <f t="shared" ref="AL34:AL65" si="9">Z34-O34</f>
        <v>-3</v>
      </c>
      <c r="AM34" s="2">
        <f t="shared" ref="AM34:AM65" si="10">AK34-Z34</f>
        <v>-15</v>
      </c>
      <c r="AN34" s="2">
        <f t="shared" ref="AN34:AN65" si="11">AK34-O34</f>
        <v>-18</v>
      </c>
      <c r="AO34" s="2" t="s">
        <v>39</v>
      </c>
    </row>
    <row r="35" spans="1:41">
      <c r="A35" s="2">
        <v>34</v>
      </c>
      <c r="B35" s="4" t="s">
        <v>15</v>
      </c>
      <c r="C35" s="2">
        <v>2</v>
      </c>
      <c r="E35" s="2">
        <v>0</v>
      </c>
      <c r="F35" s="2">
        <v>0</v>
      </c>
      <c r="G35" s="3">
        <f>ScoresTable[[#This Row],[Pre_Q2]]/30*10</f>
        <v>0</v>
      </c>
      <c r="H35" s="2">
        <v>0</v>
      </c>
      <c r="I35" s="2">
        <v>0</v>
      </c>
      <c r="J35" s="2">
        <v>3</v>
      </c>
      <c r="K35" s="2">
        <v>0</v>
      </c>
      <c r="L35" s="2">
        <v>0</v>
      </c>
      <c r="M35" s="2">
        <v>3</v>
      </c>
      <c r="N35" s="3">
        <f t="shared" si="0"/>
        <v>1</v>
      </c>
      <c r="O35" s="2">
        <f t="shared" si="8"/>
        <v>6</v>
      </c>
      <c r="P35" s="2">
        <v>10</v>
      </c>
      <c r="Q35" s="2">
        <v>20</v>
      </c>
      <c r="R35" s="3">
        <f>ScoresTable[[#This Row],[Post_Q2]]/30*10</f>
        <v>6.6666666666666661</v>
      </c>
      <c r="S35" s="2">
        <v>0</v>
      </c>
      <c r="T35" s="2">
        <v>3</v>
      </c>
      <c r="U35" s="2">
        <v>10</v>
      </c>
      <c r="V35" s="2">
        <v>0</v>
      </c>
      <c r="W35" s="2">
        <v>0</v>
      </c>
      <c r="X35" s="2">
        <v>3</v>
      </c>
      <c r="Y35" s="3">
        <f t="shared" si="1"/>
        <v>2.6666666666666665</v>
      </c>
      <c r="Z35" s="2">
        <f t="shared" si="6"/>
        <v>46</v>
      </c>
      <c r="AA35" s="2">
        <v>10</v>
      </c>
      <c r="AB35" s="2">
        <v>30</v>
      </c>
      <c r="AC35" s="3">
        <f>ScoresTable[[#This Row],[Transfer_Q2]]/30*10</f>
        <v>10</v>
      </c>
      <c r="AD35" s="2">
        <v>0</v>
      </c>
      <c r="AE35" s="2">
        <v>3</v>
      </c>
      <c r="AF35" s="2">
        <v>10</v>
      </c>
      <c r="AG35" s="2">
        <v>0</v>
      </c>
      <c r="AH35" s="2">
        <v>0</v>
      </c>
      <c r="AI35" s="2">
        <v>3</v>
      </c>
      <c r="AJ35" s="3">
        <f t="shared" si="2"/>
        <v>2.6666666666666665</v>
      </c>
      <c r="AK35" s="2">
        <f t="shared" si="7"/>
        <v>56</v>
      </c>
      <c r="AL35" s="2">
        <f t="shared" si="9"/>
        <v>40</v>
      </c>
      <c r="AM35" s="2">
        <f t="shared" si="10"/>
        <v>10</v>
      </c>
      <c r="AN35" s="2">
        <f t="shared" si="11"/>
        <v>50</v>
      </c>
      <c r="AO35" s="2" t="s">
        <v>39</v>
      </c>
    </row>
    <row r="36" spans="1:41">
      <c r="A36" s="2">
        <v>35</v>
      </c>
      <c r="B36" s="4" t="s">
        <v>16</v>
      </c>
      <c r="C36" s="2">
        <v>2</v>
      </c>
      <c r="E36" s="2">
        <v>10</v>
      </c>
      <c r="F36" s="2">
        <v>0</v>
      </c>
      <c r="G36" s="3">
        <f>ScoresTable[[#This Row],[Pre_Q2]]/30*10</f>
        <v>0</v>
      </c>
      <c r="H36" s="2">
        <v>0</v>
      </c>
      <c r="I36" s="2">
        <v>0</v>
      </c>
      <c r="J36" s="2">
        <v>3</v>
      </c>
      <c r="K36" s="2">
        <v>0</v>
      </c>
      <c r="L36" s="2">
        <v>0</v>
      </c>
      <c r="M36" s="2">
        <v>3</v>
      </c>
      <c r="N36" s="3">
        <f t="shared" si="0"/>
        <v>1</v>
      </c>
      <c r="O36" s="2">
        <f t="shared" si="8"/>
        <v>16</v>
      </c>
      <c r="P36" s="2">
        <v>10</v>
      </c>
      <c r="Q36" s="2">
        <v>0</v>
      </c>
      <c r="R36" s="3">
        <f>ScoresTable[[#This Row],[Post_Q2]]/30*10</f>
        <v>0</v>
      </c>
      <c r="S36" s="2">
        <v>0</v>
      </c>
      <c r="T36" s="2">
        <v>0</v>
      </c>
      <c r="U36" s="2">
        <v>3</v>
      </c>
      <c r="V36" s="2">
        <v>0</v>
      </c>
      <c r="W36" s="2">
        <v>0</v>
      </c>
      <c r="X36" s="2">
        <v>3</v>
      </c>
      <c r="Y36" s="3">
        <f t="shared" si="1"/>
        <v>1</v>
      </c>
      <c r="Z36" s="2">
        <f t="shared" si="6"/>
        <v>16</v>
      </c>
      <c r="AA36" s="2">
        <v>10</v>
      </c>
      <c r="AB36" s="2">
        <v>0</v>
      </c>
      <c r="AC36" s="3">
        <f>ScoresTable[[#This Row],[Transfer_Q2]]/30*10</f>
        <v>0</v>
      </c>
      <c r="AD36" s="2">
        <v>0</v>
      </c>
      <c r="AE36" s="2">
        <v>0</v>
      </c>
      <c r="AF36" s="2">
        <v>3</v>
      </c>
      <c r="AG36" s="2">
        <v>0</v>
      </c>
      <c r="AH36" s="2">
        <v>0</v>
      </c>
      <c r="AI36" s="2">
        <v>3</v>
      </c>
      <c r="AJ36" s="3">
        <f t="shared" si="2"/>
        <v>1</v>
      </c>
      <c r="AK36" s="2">
        <f t="shared" si="7"/>
        <v>16</v>
      </c>
      <c r="AL36" s="2">
        <f t="shared" si="9"/>
        <v>0</v>
      </c>
      <c r="AM36" s="2">
        <f t="shared" si="10"/>
        <v>0</v>
      </c>
      <c r="AN36" s="2">
        <f t="shared" si="11"/>
        <v>0</v>
      </c>
      <c r="AO36" s="2" t="s">
        <v>39</v>
      </c>
    </row>
    <row r="37" spans="1:41">
      <c r="A37" s="2">
        <v>36</v>
      </c>
      <c r="B37" s="4" t="s">
        <v>17</v>
      </c>
      <c r="C37" s="2">
        <v>2</v>
      </c>
      <c r="E37" s="2">
        <v>10</v>
      </c>
      <c r="F37" s="2">
        <v>0</v>
      </c>
      <c r="G37" s="3">
        <f>ScoresTable[[#This Row],[Pre_Q2]]/30*10</f>
        <v>0</v>
      </c>
      <c r="H37" s="2">
        <v>0</v>
      </c>
      <c r="I37" s="2">
        <v>3</v>
      </c>
      <c r="J37" s="2">
        <v>0</v>
      </c>
      <c r="K37" s="2">
        <v>0</v>
      </c>
      <c r="L37" s="2">
        <v>5</v>
      </c>
      <c r="M37" s="2">
        <v>3</v>
      </c>
      <c r="N37" s="3">
        <f t="shared" si="0"/>
        <v>1.8333333333333333</v>
      </c>
      <c r="O37" s="2">
        <f t="shared" si="8"/>
        <v>21</v>
      </c>
      <c r="P37" s="2">
        <v>10</v>
      </c>
      <c r="Q37" s="2">
        <v>0</v>
      </c>
      <c r="R37" s="3">
        <f>ScoresTable[[#This Row],[Post_Q2]]/30*10</f>
        <v>0</v>
      </c>
      <c r="S37" s="2">
        <v>0</v>
      </c>
      <c r="T37" s="2">
        <v>0</v>
      </c>
      <c r="U37" s="2">
        <v>3</v>
      </c>
      <c r="V37" s="2">
        <v>5</v>
      </c>
      <c r="W37" s="2">
        <v>0</v>
      </c>
      <c r="X37" s="2">
        <v>3</v>
      </c>
      <c r="Y37" s="3">
        <f t="shared" si="1"/>
        <v>1.8333333333333333</v>
      </c>
      <c r="Z37" s="2">
        <f t="shared" si="6"/>
        <v>21</v>
      </c>
      <c r="AA37" s="2">
        <v>0</v>
      </c>
      <c r="AB37" s="2">
        <v>0</v>
      </c>
      <c r="AC37" s="3">
        <f>ScoresTable[[#This Row],[Transfer_Q2]]/30*10</f>
        <v>0</v>
      </c>
      <c r="AD37" s="2">
        <v>0</v>
      </c>
      <c r="AE37" s="2">
        <v>0</v>
      </c>
      <c r="AF37" s="2">
        <v>0</v>
      </c>
      <c r="AG37" s="2">
        <v>3</v>
      </c>
      <c r="AH37" s="2">
        <v>0</v>
      </c>
      <c r="AI37" s="2">
        <v>3</v>
      </c>
      <c r="AJ37" s="3">
        <f t="shared" si="2"/>
        <v>1</v>
      </c>
      <c r="AK37" s="2">
        <f t="shared" si="7"/>
        <v>6</v>
      </c>
      <c r="AL37" s="2">
        <f t="shared" si="9"/>
        <v>0</v>
      </c>
      <c r="AM37" s="2">
        <f t="shared" si="10"/>
        <v>-15</v>
      </c>
      <c r="AN37" s="2">
        <f t="shared" si="11"/>
        <v>-15</v>
      </c>
      <c r="AO37" s="2" t="s">
        <v>39</v>
      </c>
    </row>
    <row r="38" spans="1:41">
      <c r="A38" s="2">
        <v>37</v>
      </c>
      <c r="B38" s="4" t="s">
        <v>15</v>
      </c>
      <c r="C38" s="2">
        <v>2</v>
      </c>
      <c r="E38" s="2">
        <v>0</v>
      </c>
      <c r="F38" s="2">
        <v>0</v>
      </c>
      <c r="G38" s="3">
        <f>ScoresTable[[#This Row],[Pre_Q2]]/30*10</f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3">
        <f t="shared" si="0"/>
        <v>0</v>
      </c>
      <c r="O38" s="2">
        <f t="shared" si="8"/>
        <v>0</v>
      </c>
      <c r="P38" s="2">
        <v>0</v>
      </c>
      <c r="Q38" s="2">
        <v>20</v>
      </c>
      <c r="R38" s="3">
        <f>ScoresTable[[#This Row],[Post_Q2]]/30*10</f>
        <v>6.6666666666666661</v>
      </c>
      <c r="S38" s="2">
        <v>0</v>
      </c>
      <c r="T38" s="2">
        <v>5</v>
      </c>
      <c r="U38" s="2">
        <v>0</v>
      </c>
      <c r="V38" s="2">
        <v>0</v>
      </c>
      <c r="W38" s="2">
        <v>0</v>
      </c>
      <c r="X38" s="2">
        <v>3</v>
      </c>
      <c r="Y38" s="3">
        <f t="shared" si="1"/>
        <v>1.3333333333333333</v>
      </c>
      <c r="Z38" s="2">
        <f t="shared" si="6"/>
        <v>28</v>
      </c>
      <c r="AA38" s="2">
        <v>0</v>
      </c>
      <c r="AB38" s="2">
        <v>0</v>
      </c>
      <c r="AC38" s="3">
        <f>ScoresTable[[#This Row],[Transfer_Q2]]/30*10</f>
        <v>0</v>
      </c>
      <c r="AD38" s="2">
        <v>0</v>
      </c>
      <c r="AE38" s="2">
        <v>5</v>
      </c>
      <c r="AF38" s="2">
        <v>5</v>
      </c>
      <c r="AG38" s="2">
        <v>0</v>
      </c>
      <c r="AH38" s="2">
        <v>0</v>
      </c>
      <c r="AI38" s="2">
        <v>3</v>
      </c>
      <c r="AJ38" s="3">
        <f t="shared" si="2"/>
        <v>2.166666666666667</v>
      </c>
      <c r="AK38" s="2">
        <f t="shared" si="7"/>
        <v>13</v>
      </c>
      <c r="AL38" s="2">
        <f t="shared" si="9"/>
        <v>28</v>
      </c>
      <c r="AM38" s="2">
        <f t="shared" si="10"/>
        <v>-15</v>
      </c>
      <c r="AN38" s="2">
        <f t="shared" si="11"/>
        <v>13</v>
      </c>
      <c r="AO38" s="2" t="s">
        <v>39</v>
      </c>
    </row>
    <row r="39" spans="1:41">
      <c r="A39" s="2">
        <v>38</v>
      </c>
      <c r="B39" s="4" t="s">
        <v>16</v>
      </c>
      <c r="C39" s="2">
        <v>2</v>
      </c>
      <c r="D39" t="s">
        <v>80</v>
      </c>
      <c r="E39" s="2">
        <v>10</v>
      </c>
      <c r="F39" s="2">
        <v>20</v>
      </c>
      <c r="G39" s="3">
        <f>ScoresTable[[#This Row],[Pre_Q2]]/30*10</f>
        <v>6.6666666666666661</v>
      </c>
      <c r="H39" s="2">
        <v>0</v>
      </c>
      <c r="I39" s="2">
        <v>3</v>
      </c>
      <c r="J39" s="2">
        <v>0</v>
      </c>
      <c r="K39" s="2">
        <v>0</v>
      </c>
      <c r="L39" s="2">
        <v>5</v>
      </c>
      <c r="M39" s="2">
        <v>3</v>
      </c>
      <c r="N39" s="3">
        <f t="shared" si="0"/>
        <v>1.8333333333333333</v>
      </c>
      <c r="O39" s="2">
        <f t="shared" si="8"/>
        <v>41</v>
      </c>
      <c r="P39" s="2">
        <v>10</v>
      </c>
      <c r="Q39" s="2">
        <v>0</v>
      </c>
      <c r="R39" s="3">
        <f>ScoresTable[[#This Row],[Post_Q2]]/30*10</f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3</v>
      </c>
      <c r="Y39" s="3">
        <f t="shared" si="1"/>
        <v>0.5</v>
      </c>
      <c r="Z39" s="2">
        <f t="shared" si="6"/>
        <v>13</v>
      </c>
      <c r="AA39" s="2">
        <v>0</v>
      </c>
      <c r="AB39" s="2">
        <v>5</v>
      </c>
      <c r="AC39" s="3">
        <f>ScoresTable[[#This Row],[Transfer_Q2]]/30*10</f>
        <v>1.6666666666666665</v>
      </c>
      <c r="AD39" s="2">
        <v>0</v>
      </c>
      <c r="AE39" s="2">
        <v>3</v>
      </c>
      <c r="AF39" s="2">
        <v>3</v>
      </c>
      <c r="AG39" s="2">
        <v>0</v>
      </c>
      <c r="AH39" s="2">
        <v>0</v>
      </c>
      <c r="AI39" s="2">
        <v>3</v>
      </c>
      <c r="AJ39" s="3">
        <f t="shared" si="2"/>
        <v>1.5</v>
      </c>
      <c r="AK39" s="2">
        <f t="shared" si="7"/>
        <v>14</v>
      </c>
      <c r="AL39" s="2">
        <f t="shared" si="9"/>
        <v>-28</v>
      </c>
      <c r="AM39" s="2">
        <f t="shared" si="10"/>
        <v>1</v>
      </c>
      <c r="AN39" s="2">
        <f t="shared" si="11"/>
        <v>-27</v>
      </c>
      <c r="AO39" s="2" t="s">
        <v>39</v>
      </c>
    </row>
    <row r="40" spans="1:41">
      <c r="A40" s="2">
        <v>39</v>
      </c>
      <c r="B40" s="4" t="s">
        <v>17</v>
      </c>
      <c r="C40" s="2">
        <v>2</v>
      </c>
      <c r="E40" s="2">
        <v>10</v>
      </c>
      <c r="F40" s="2">
        <v>0</v>
      </c>
      <c r="G40" s="3">
        <f>ScoresTable[[#This Row],[Pre_Q2]]/30*10</f>
        <v>0</v>
      </c>
      <c r="H40" s="2">
        <v>0</v>
      </c>
      <c r="I40" s="2">
        <v>0</v>
      </c>
      <c r="J40" s="2">
        <v>3</v>
      </c>
      <c r="K40" s="2">
        <v>0</v>
      </c>
      <c r="L40" s="2">
        <v>5</v>
      </c>
      <c r="M40" s="2">
        <v>3</v>
      </c>
      <c r="N40" s="3">
        <f t="shared" si="0"/>
        <v>1.8333333333333333</v>
      </c>
      <c r="O40" s="2">
        <f t="shared" si="8"/>
        <v>21</v>
      </c>
      <c r="P40" s="2">
        <v>10</v>
      </c>
      <c r="Q40" s="2">
        <v>0</v>
      </c>
      <c r="R40" s="3">
        <f>ScoresTable[[#This Row],[Post_Q2]]/30*10</f>
        <v>0</v>
      </c>
      <c r="S40" s="2">
        <v>0</v>
      </c>
      <c r="T40" s="2">
        <v>5</v>
      </c>
      <c r="U40" s="2">
        <v>10</v>
      </c>
      <c r="V40" s="2">
        <v>0</v>
      </c>
      <c r="W40" s="2">
        <v>5</v>
      </c>
      <c r="X40" s="2">
        <v>3</v>
      </c>
      <c r="Y40" s="3">
        <f t="shared" si="1"/>
        <v>3.8333333333333335</v>
      </c>
      <c r="Z40" s="2">
        <f t="shared" si="6"/>
        <v>33</v>
      </c>
      <c r="AA40" s="2">
        <v>0</v>
      </c>
      <c r="AB40" s="2">
        <v>5</v>
      </c>
      <c r="AC40" s="3">
        <f>ScoresTable[[#This Row],[Transfer_Q2]]/30*10</f>
        <v>1.6666666666666665</v>
      </c>
      <c r="AD40" s="2">
        <v>0</v>
      </c>
      <c r="AE40" s="2">
        <v>5</v>
      </c>
      <c r="AF40" s="2">
        <v>10</v>
      </c>
      <c r="AG40" s="2">
        <v>0</v>
      </c>
      <c r="AH40" s="2">
        <v>5</v>
      </c>
      <c r="AI40" s="2">
        <v>3</v>
      </c>
      <c r="AJ40" s="3">
        <f t="shared" si="2"/>
        <v>3.8333333333333335</v>
      </c>
      <c r="AK40" s="2">
        <f t="shared" si="7"/>
        <v>28</v>
      </c>
      <c r="AL40" s="2">
        <f t="shared" si="9"/>
        <v>12</v>
      </c>
      <c r="AM40" s="2">
        <f t="shared" si="10"/>
        <v>-5</v>
      </c>
      <c r="AN40" s="2">
        <f t="shared" si="11"/>
        <v>7</v>
      </c>
      <c r="AO40" s="2" t="s">
        <v>39</v>
      </c>
    </row>
    <row r="41" spans="1:41">
      <c r="A41" s="2">
        <v>40</v>
      </c>
      <c r="B41" s="4" t="s">
        <v>15</v>
      </c>
      <c r="C41" s="2">
        <v>2</v>
      </c>
      <c r="E41" s="2">
        <v>10</v>
      </c>
      <c r="F41" s="2">
        <v>0</v>
      </c>
      <c r="G41" s="3">
        <f>ScoresTable[[#This Row],[Pre_Q2]]/30*10</f>
        <v>0</v>
      </c>
      <c r="H41" s="2">
        <v>0</v>
      </c>
      <c r="I41" s="2">
        <v>0</v>
      </c>
      <c r="J41" s="2">
        <v>3</v>
      </c>
      <c r="K41" s="2">
        <v>0</v>
      </c>
      <c r="L41" s="2">
        <v>0</v>
      </c>
      <c r="M41" s="2">
        <v>3</v>
      </c>
      <c r="N41" s="3">
        <f t="shared" si="0"/>
        <v>1</v>
      </c>
      <c r="O41" s="2">
        <f t="shared" si="8"/>
        <v>16</v>
      </c>
      <c r="P41" s="2">
        <v>10</v>
      </c>
      <c r="Q41" s="2">
        <v>0</v>
      </c>
      <c r="R41" s="3">
        <f>ScoresTable[[#This Row],[Post_Q2]]/30*10</f>
        <v>0</v>
      </c>
      <c r="S41" s="2">
        <v>0</v>
      </c>
      <c r="T41" s="2">
        <v>3</v>
      </c>
      <c r="U41" s="2">
        <v>5</v>
      </c>
      <c r="V41" s="2">
        <v>0</v>
      </c>
      <c r="W41" s="2">
        <v>5</v>
      </c>
      <c r="X41" s="2">
        <v>3</v>
      </c>
      <c r="Y41" s="3">
        <f t="shared" si="1"/>
        <v>2.6666666666666665</v>
      </c>
      <c r="Z41" s="2">
        <f t="shared" si="6"/>
        <v>26</v>
      </c>
      <c r="AA41" s="2">
        <v>0</v>
      </c>
      <c r="AB41" s="2">
        <v>5</v>
      </c>
      <c r="AC41" s="3">
        <f>ScoresTable[[#This Row],[Transfer_Q2]]/30*10</f>
        <v>1.6666666666666665</v>
      </c>
      <c r="AD41" s="2">
        <v>0</v>
      </c>
      <c r="AE41" s="2">
        <v>3</v>
      </c>
      <c r="AF41" s="2">
        <v>5</v>
      </c>
      <c r="AG41" s="2">
        <v>0</v>
      </c>
      <c r="AH41" s="2">
        <v>0</v>
      </c>
      <c r="AI41" s="2">
        <v>3</v>
      </c>
      <c r="AJ41" s="3">
        <f t="shared" si="2"/>
        <v>1.8333333333333333</v>
      </c>
      <c r="AK41" s="2">
        <f t="shared" si="7"/>
        <v>16</v>
      </c>
      <c r="AL41" s="2">
        <f t="shared" si="9"/>
        <v>10</v>
      </c>
      <c r="AM41" s="2">
        <f t="shared" si="10"/>
        <v>-10</v>
      </c>
      <c r="AN41" s="2">
        <f t="shared" si="11"/>
        <v>0</v>
      </c>
      <c r="AO41" s="2" t="s">
        <v>39</v>
      </c>
    </row>
    <row r="42" spans="1:41">
      <c r="A42" s="2">
        <v>41</v>
      </c>
      <c r="B42" s="4" t="s">
        <v>16</v>
      </c>
      <c r="C42" s="2">
        <v>2</v>
      </c>
      <c r="E42" s="2">
        <v>0</v>
      </c>
      <c r="F42" s="2">
        <v>20</v>
      </c>
      <c r="G42" s="3">
        <f>ScoresTable[[#This Row],[Pre_Q2]]/30*10</f>
        <v>6.6666666666666661</v>
      </c>
      <c r="H42" s="2">
        <v>0</v>
      </c>
      <c r="I42" s="2">
        <v>0</v>
      </c>
      <c r="J42" s="2">
        <v>0</v>
      </c>
      <c r="K42" s="2">
        <v>0</v>
      </c>
      <c r="L42" s="2">
        <v>5</v>
      </c>
      <c r="M42" s="2">
        <v>3</v>
      </c>
      <c r="N42" s="3">
        <f t="shared" si="0"/>
        <v>1.3333333333333333</v>
      </c>
      <c r="O42" s="2">
        <f t="shared" si="8"/>
        <v>28</v>
      </c>
      <c r="P42" s="2">
        <v>10</v>
      </c>
      <c r="Q42" s="2">
        <v>20</v>
      </c>
      <c r="R42" s="3">
        <f>ScoresTable[[#This Row],[Post_Q2]]/30*10</f>
        <v>6.6666666666666661</v>
      </c>
      <c r="S42" s="2">
        <v>0</v>
      </c>
      <c r="T42" s="2">
        <v>5</v>
      </c>
      <c r="U42" s="2">
        <v>0</v>
      </c>
      <c r="V42" s="2">
        <v>0</v>
      </c>
      <c r="W42" s="2">
        <v>5</v>
      </c>
      <c r="X42" s="2">
        <v>3</v>
      </c>
      <c r="Y42" s="3">
        <f t="shared" si="1"/>
        <v>2.166666666666667</v>
      </c>
      <c r="Z42" s="2">
        <f t="shared" si="6"/>
        <v>43</v>
      </c>
      <c r="AA42" s="2">
        <v>10</v>
      </c>
      <c r="AB42" s="2">
        <v>20</v>
      </c>
      <c r="AC42" s="3">
        <f>ScoresTable[[#This Row],[Transfer_Q2]]/30*10</f>
        <v>6.6666666666666661</v>
      </c>
      <c r="AD42" s="2">
        <v>0</v>
      </c>
      <c r="AE42" s="2">
        <v>5</v>
      </c>
      <c r="AF42" s="2">
        <v>10</v>
      </c>
      <c r="AG42" s="2">
        <v>0</v>
      </c>
      <c r="AH42" s="2">
        <v>5</v>
      </c>
      <c r="AI42" s="2">
        <v>3</v>
      </c>
      <c r="AJ42" s="3">
        <f t="shared" si="2"/>
        <v>3.8333333333333335</v>
      </c>
      <c r="AK42" s="2">
        <f t="shared" si="7"/>
        <v>53</v>
      </c>
      <c r="AL42" s="2">
        <f t="shared" si="9"/>
        <v>15</v>
      </c>
      <c r="AM42" s="2">
        <f t="shared" si="10"/>
        <v>10</v>
      </c>
      <c r="AN42" s="2">
        <f t="shared" si="11"/>
        <v>25</v>
      </c>
      <c r="AO42" s="2" t="s">
        <v>39</v>
      </c>
    </row>
    <row r="43" spans="1:41">
      <c r="A43" s="2">
        <v>42</v>
      </c>
      <c r="B43" s="4" t="s">
        <v>17</v>
      </c>
      <c r="C43" s="2">
        <v>2</v>
      </c>
      <c r="E43" s="2">
        <v>0</v>
      </c>
      <c r="F43" s="2">
        <v>0</v>
      </c>
      <c r="G43" s="3">
        <f>ScoresTable[[#This Row],[Pre_Q2]]/30*10</f>
        <v>0</v>
      </c>
      <c r="H43" s="2">
        <v>0</v>
      </c>
      <c r="I43" s="2">
        <v>0</v>
      </c>
      <c r="J43" s="2">
        <v>3</v>
      </c>
      <c r="K43" s="2">
        <v>0</v>
      </c>
      <c r="L43" s="2">
        <v>5</v>
      </c>
      <c r="M43" s="2">
        <v>3</v>
      </c>
      <c r="N43" s="3">
        <f t="shared" si="0"/>
        <v>1.8333333333333333</v>
      </c>
      <c r="O43" s="2">
        <f t="shared" si="8"/>
        <v>11</v>
      </c>
      <c r="P43" s="2">
        <v>10</v>
      </c>
      <c r="Q43" s="2">
        <v>0</v>
      </c>
      <c r="R43" s="3">
        <f>ScoresTable[[#This Row],[Post_Q2]]/30*10</f>
        <v>0</v>
      </c>
      <c r="S43" s="2">
        <v>0</v>
      </c>
      <c r="T43" s="2">
        <v>5</v>
      </c>
      <c r="U43" s="2">
        <v>10</v>
      </c>
      <c r="V43" s="2">
        <v>0</v>
      </c>
      <c r="W43" s="2">
        <v>5</v>
      </c>
      <c r="X43" s="2">
        <v>3</v>
      </c>
      <c r="Y43" s="3">
        <f t="shared" si="1"/>
        <v>3.8333333333333335</v>
      </c>
      <c r="Z43" s="2">
        <f t="shared" si="6"/>
        <v>33</v>
      </c>
      <c r="AA43" s="2">
        <v>0</v>
      </c>
      <c r="AB43" s="2">
        <v>5</v>
      </c>
      <c r="AC43" s="3">
        <f>ScoresTable[[#This Row],[Transfer_Q2]]/30*10</f>
        <v>1.6666666666666665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3">
        <f t="shared" si="2"/>
        <v>0</v>
      </c>
      <c r="AK43" s="2">
        <f t="shared" si="7"/>
        <v>5</v>
      </c>
      <c r="AL43" s="2">
        <f t="shared" si="9"/>
        <v>22</v>
      </c>
      <c r="AM43" s="2">
        <f t="shared" si="10"/>
        <v>-28</v>
      </c>
      <c r="AN43" s="2">
        <f t="shared" si="11"/>
        <v>-6</v>
      </c>
      <c r="AO43" s="2" t="s">
        <v>39</v>
      </c>
    </row>
    <row r="44" spans="1:41">
      <c r="A44" s="2">
        <v>43</v>
      </c>
      <c r="B44" s="4" t="s">
        <v>15</v>
      </c>
      <c r="C44" s="2">
        <v>2</v>
      </c>
      <c r="E44" s="2">
        <v>10</v>
      </c>
      <c r="F44" s="2">
        <v>0</v>
      </c>
      <c r="G44" s="3">
        <f>ScoresTable[[#This Row],[Pre_Q2]]/30*10</f>
        <v>0</v>
      </c>
      <c r="H44" s="2">
        <v>0</v>
      </c>
      <c r="I44" s="2">
        <v>3</v>
      </c>
      <c r="J44" s="2">
        <v>0</v>
      </c>
      <c r="K44" s="2">
        <v>0</v>
      </c>
      <c r="L44" s="2">
        <v>0</v>
      </c>
      <c r="M44" s="2">
        <v>3</v>
      </c>
      <c r="N44" s="3">
        <f t="shared" si="0"/>
        <v>1</v>
      </c>
      <c r="O44" s="2">
        <f t="shared" si="8"/>
        <v>16</v>
      </c>
      <c r="P44" s="2">
        <v>0</v>
      </c>
      <c r="Q44" s="2">
        <v>20</v>
      </c>
      <c r="R44" s="3">
        <f>ScoresTable[[#This Row],[Post_Q2]]/30*10</f>
        <v>6.6666666666666661</v>
      </c>
      <c r="S44" s="2">
        <v>10</v>
      </c>
      <c r="T44" s="2">
        <v>0</v>
      </c>
      <c r="U44" s="2">
        <v>3</v>
      </c>
      <c r="V44" s="2">
        <v>0</v>
      </c>
      <c r="W44" s="2">
        <v>5</v>
      </c>
      <c r="X44" s="2">
        <v>3</v>
      </c>
      <c r="Y44" s="3">
        <f t="shared" si="1"/>
        <v>3.5</v>
      </c>
      <c r="Z44" s="2">
        <f t="shared" si="6"/>
        <v>41</v>
      </c>
      <c r="AA44" s="2">
        <v>10</v>
      </c>
      <c r="AB44" s="2">
        <v>5</v>
      </c>
      <c r="AC44" s="3">
        <f>ScoresTable[[#This Row],[Transfer_Q2]]/30*10</f>
        <v>1.6666666666666665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3">
        <f t="shared" si="2"/>
        <v>0</v>
      </c>
      <c r="AK44" s="2">
        <f t="shared" si="7"/>
        <v>15</v>
      </c>
      <c r="AL44" s="2">
        <f t="shared" si="9"/>
        <v>25</v>
      </c>
      <c r="AM44" s="2">
        <f t="shared" si="10"/>
        <v>-26</v>
      </c>
      <c r="AN44" s="2">
        <f t="shared" si="11"/>
        <v>-1</v>
      </c>
      <c r="AO44" s="2" t="s">
        <v>39</v>
      </c>
    </row>
    <row r="45" spans="1:41">
      <c r="A45" s="2">
        <v>44</v>
      </c>
      <c r="B45" s="4" t="s">
        <v>16</v>
      </c>
      <c r="C45" s="2">
        <v>2</v>
      </c>
      <c r="E45" s="2">
        <v>10</v>
      </c>
      <c r="F45" s="2">
        <v>0</v>
      </c>
      <c r="G45" s="3">
        <f>ScoresTable[[#This Row],[Pre_Q2]]/30*10</f>
        <v>0</v>
      </c>
      <c r="H45" s="2">
        <v>0</v>
      </c>
      <c r="I45" s="2">
        <v>0</v>
      </c>
      <c r="J45" s="2">
        <v>3</v>
      </c>
      <c r="K45" s="2">
        <v>0</v>
      </c>
      <c r="L45" s="2">
        <v>5</v>
      </c>
      <c r="M45" s="2">
        <v>3</v>
      </c>
      <c r="N45" s="3">
        <f t="shared" si="0"/>
        <v>1.8333333333333333</v>
      </c>
      <c r="O45" s="2">
        <f t="shared" si="8"/>
        <v>21</v>
      </c>
      <c r="P45" s="2">
        <v>10</v>
      </c>
      <c r="Q45" s="2">
        <v>20</v>
      </c>
      <c r="R45" s="3">
        <f>ScoresTable[[#This Row],[Post_Q2]]/30*10</f>
        <v>6.6666666666666661</v>
      </c>
      <c r="S45" s="2">
        <v>0</v>
      </c>
      <c r="T45" s="2">
        <v>3</v>
      </c>
      <c r="U45" s="2">
        <v>10</v>
      </c>
      <c r="V45" s="2">
        <v>0</v>
      </c>
      <c r="W45" s="2">
        <v>5</v>
      </c>
      <c r="X45" s="2">
        <v>5</v>
      </c>
      <c r="Y45" s="3">
        <f t="shared" si="1"/>
        <v>3.8333333333333335</v>
      </c>
      <c r="Z45" s="2">
        <f t="shared" si="6"/>
        <v>53</v>
      </c>
      <c r="AA45" s="2">
        <v>10</v>
      </c>
      <c r="AB45" s="2">
        <v>10</v>
      </c>
      <c r="AC45" s="3">
        <f>ScoresTable[[#This Row],[Transfer_Q2]]/30*10</f>
        <v>3.333333333333333</v>
      </c>
      <c r="AD45" s="2">
        <v>5</v>
      </c>
      <c r="AE45" s="2">
        <v>5</v>
      </c>
      <c r="AF45" s="2">
        <v>10</v>
      </c>
      <c r="AG45" s="2">
        <v>0</v>
      </c>
      <c r="AH45" s="2">
        <v>5</v>
      </c>
      <c r="AI45" s="2">
        <v>5</v>
      </c>
      <c r="AJ45" s="3">
        <f t="shared" si="2"/>
        <v>5</v>
      </c>
      <c r="AK45" s="2">
        <f t="shared" si="7"/>
        <v>50</v>
      </c>
      <c r="AL45" s="2">
        <f t="shared" si="9"/>
        <v>32</v>
      </c>
      <c r="AM45" s="2">
        <f t="shared" si="10"/>
        <v>-3</v>
      </c>
      <c r="AN45" s="2">
        <f t="shared" si="11"/>
        <v>29</v>
      </c>
      <c r="AO45" s="2" t="s">
        <v>39</v>
      </c>
    </row>
    <row r="46" spans="1:41">
      <c r="A46" s="2">
        <v>45</v>
      </c>
      <c r="B46" s="4" t="s">
        <v>17</v>
      </c>
      <c r="C46" s="2">
        <v>2</v>
      </c>
      <c r="E46" s="2">
        <v>10</v>
      </c>
      <c r="F46" s="2">
        <v>0</v>
      </c>
      <c r="G46" s="3">
        <f>ScoresTable[[#This Row],[Pre_Q2]]/30*10</f>
        <v>0</v>
      </c>
      <c r="H46" s="2">
        <v>0</v>
      </c>
      <c r="I46" s="2">
        <v>0</v>
      </c>
      <c r="J46" s="2">
        <v>3</v>
      </c>
      <c r="K46" s="2">
        <v>0</v>
      </c>
      <c r="L46" s="2">
        <v>0</v>
      </c>
      <c r="M46" s="2">
        <v>3</v>
      </c>
      <c r="N46" s="3">
        <f t="shared" si="0"/>
        <v>1</v>
      </c>
      <c r="O46" s="2">
        <f t="shared" si="8"/>
        <v>16</v>
      </c>
      <c r="P46" s="2">
        <v>10</v>
      </c>
      <c r="Q46" s="2">
        <v>20</v>
      </c>
      <c r="R46" s="3">
        <f>ScoresTable[[#This Row],[Post_Q2]]/30*10</f>
        <v>6.6666666666666661</v>
      </c>
      <c r="S46" s="2">
        <v>0</v>
      </c>
      <c r="T46" s="2">
        <v>0</v>
      </c>
      <c r="U46" s="2">
        <v>3</v>
      </c>
      <c r="V46" s="2">
        <v>0</v>
      </c>
      <c r="W46" s="2">
        <v>5</v>
      </c>
      <c r="X46" s="2">
        <v>5</v>
      </c>
      <c r="Y46" s="3">
        <f t="shared" si="1"/>
        <v>2.166666666666667</v>
      </c>
      <c r="Z46" s="2">
        <f t="shared" si="6"/>
        <v>43</v>
      </c>
      <c r="AA46" s="2">
        <v>0</v>
      </c>
      <c r="AB46" s="2">
        <v>0</v>
      </c>
      <c r="AC46" s="3">
        <f>ScoresTable[[#This Row],[Transfer_Q2]]/30*10</f>
        <v>0</v>
      </c>
      <c r="AD46" s="2">
        <v>0</v>
      </c>
      <c r="AE46" s="2">
        <v>5</v>
      </c>
      <c r="AF46" s="2">
        <v>10</v>
      </c>
      <c r="AG46" s="2">
        <v>0</v>
      </c>
      <c r="AH46" s="2">
        <v>0</v>
      </c>
      <c r="AI46" s="2">
        <v>3</v>
      </c>
      <c r="AJ46" s="3">
        <f t="shared" si="2"/>
        <v>3</v>
      </c>
      <c r="AK46" s="2">
        <f t="shared" si="7"/>
        <v>18</v>
      </c>
      <c r="AL46" s="2">
        <f t="shared" si="9"/>
        <v>27</v>
      </c>
      <c r="AM46" s="2">
        <f t="shared" si="10"/>
        <v>-25</v>
      </c>
      <c r="AN46" s="2">
        <f t="shared" si="11"/>
        <v>2</v>
      </c>
      <c r="AO46" s="2" t="s">
        <v>39</v>
      </c>
    </row>
    <row r="47" spans="1:41">
      <c r="A47" s="2">
        <v>46</v>
      </c>
      <c r="B47" s="4" t="s">
        <v>15</v>
      </c>
      <c r="C47" s="2">
        <v>3</v>
      </c>
      <c r="E47" s="2">
        <v>0</v>
      </c>
      <c r="F47" s="2">
        <v>20</v>
      </c>
      <c r="G47" s="3">
        <f>ScoresTable[[#This Row],[Pre_Q2]]/30*10</f>
        <v>6.6666666666666661</v>
      </c>
      <c r="H47" s="2">
        <v>0</v>
      </c>
      <c r="I47" s="2">
        <v>3</v>
      </c>
      <c r="J47" s="2">
        <v>3</v>
      </c>
      <c r="K47" s="2">
        <v>5</v>
      </c>
      <c r="L47" s="2">
        <v>0</v>
      </c>
      <c r="M47" s="2">
        <v>3</v>
      </c>
      <c r="N47" s="3">
        <f t="shared" ref="N47:N61" si="12">(SUM(H47:M47))/60*10</f>
        <v>2.3333333333333335</v>
      </c>
      <c r="O47" s="2">
        <f t="shared" si="8"/>
        <v>34</v>
      </c>
      <c r="P47" s="2">
        <v>10</v>
      </c>
      <c r="Q47" s="2">
        <v>10</v>
      </c>
      <c r="R47" s="3">
        <f>ScoresTable[[#This Row],[Post_Q2]]/30*10</f>
        <v>3.333333333333333</v>
      </c>
      <c r="S47" s="2">
        <v>0</v>
      </c>
      <c r="T47" s="2">
        <v>5</v>
      </c>
      <c r="U47" s="2">
        <v>3</v>
      </c>
      <c r="V47" s="2">
        <v>5</v>
      </c>
      <c r="W47" s="2">
        <v>5</v>
      </c>
      <c r="X47" s="2">
        <v>3</v>
      </c>
      <c r="Y47" s="3">
        <f t="shared" ref="Y47:Y61" si="13">(SUM(S47:X47))/60*10</f>
        <v>3.5</v>
      </c>
      <c r="Z47" s="2">
        <f t="shared" si="6"/>
        <v>41</v>
      </c>
      <c r="AA47" s="2">
        <v>0</v>
      </c>
      <c r="AB47" s="2">
        <v>20</v>
      </c>
      <c r="AC47" s="3">
        <f>ScoresTable[[#This Row],[Transfer_Q2]]/30*10</f>
        <v>6.6666666666666661</v>
      </c>
      <c r="AD47" s="2">
        <v>0</v>
      </c>
      <c r="AE47" s="2">
        <v>5</v>
      </c>
      <c r="AF47" s="2">
        <v>5</v>
      </c>
      <c r="AG47" s="2">
        <v>0</v>
      </c>
      <c r="AH47" s="2">
        <v>5</v>
      </c>
      <c r="AI47" s="2">
        <v>3</v>
      </c>
      <c r="AJ47" s="3">
        <f t="shared" ref="AJ47:AJ61" si="14">(SUM(AD47:AI47))/60*10</f>
        <v>3</v>
      </c>
      <c r="AK47" s="2">
        <f t="shared" si="7"/>
        <v>38</v>
      </c>
      <c r="AL47" s="2">
        <f t="shared" si="9"/>
        <v>7</v>
      </c>
      <c r="AM47" s="2">
        <f t="shared" si="10"/>
        <v>-3</v>
      </c>
      <c r="AN47" s="2">
        <f t="shared" si="11"/>
        <v>4</v>
      </c>
      <c r="AO47" s="2" t="s">
        <v>39</v>
      </c>
    </row>
    <row r="48" spans="1:41">
      <c r="A48" s="2">
        <v>47</v>
      </c>
      <c r="B48" s="4" t="s">
        <v>16</v>
      </c>
      <c r="C48" s="2">
        <v>3</v>
      </c>
      <c r="E48" s="2">
        <v>10</v>
      </c>
      <c r="F48" s="2">
        <v>20</v>
      </c>
      <c r="G48" s="3">
        <f>ScoresTable[[#This Row],[Pre_Q2]]/30*10</f>
        <v>6.6666666666666661</v>
      </c>
      <c r="H48" s="2">
        <v>0</v>
      </c>
      <c r="I48" s="2">
        <v>3</v>
      </c>
      <c r="J48" s="2">
        <v>3</v>
      </c>
      <c r="K48" s="2">
        <v>5</v>
      </c>
      <c r="L48" s="2">
        <v>0</v>
      </c>
      <c r="M48" s="2">
        <v>3</v>
      </c>
      <c r="N48" s="3">
        <f t="shared" si="12"/>
        <v>2.3333333333333335</v>
      </c>
      <c r="O48" s="2">
        <f t="shared" si="8"/>
        <v>44</v>
      </c>
      <c r="P48" s="2">
        <v>10</v>
      </c>
      <c r="Q48" s="2">
        <v>10</v>
      </c>
      <c r="R48" s="3">
        <f>ScoresTable[[#This Row],[Post_Q2]]/30*10</f>
        <v>3.333333333333333</v>
      </c>
      <c r="S48" s="2">
        <v>0</v>
      </c>
      <c r="T48" s="2">
        <v>3</v>
      </c>
      <c r="U48" s="2">
        <v>3</v>
      </c>
      <c r="V48" s="2">
        <v>5</v>
      </c>
      <c r="W48" s="2">
        <v>5</v>
      </c>
      <c r="X48" s="2">
        <v>3</v>
      </c>
      <c r="Y48" s="3">
        <f t="shared" si="13"/>
        <v>3.1666666666666665</v>
      </c>
      <c r="Z48" s="2">
        <f t="shared" si="6"/>
        <v>39</v>
      </c>
      <c r="AA48" s="2">
        <v>0</v>
      </c>
      <c r="AB48" s="2">
        <v>30</v>
      </c>
      <c r="AC48" s="3">
        <f>ScoresTable[[#This Row],[Transfer_Q2]]/30*10</f>
        <v>10</v>
      </c>
      <c r="AD48" s="2">
        <v>0</v>
      </c>
      <c r="AE48" s="2">
        <v>5</v>
      </c>
      <c r="AF48" s="2">
        <v>3</v>
      </c>
      <c r="AG48" s="2">
        <v>0</v>
      </c>
      <c r="AH48" s="2">
        <v>5</v>
      </c>
      <c r="AI48" s="2">
        <v>3</v>
      </c>
      <c r="AJ48" s="3">
        <f t="shared" si="14"/>
        <v>2.6666666666666665</v>
      </c>
      <c r="AK48" s="2">
        <f t="shared" si="7"/>
        <v>46</v>
      </c>
      <c r="AL48" s="2">
        <f t="shared" si="9"/>
        <v>-5</v>
      </c>
      <c r="AM48" s="2">
        <f t="shared" si="10"/>
        <v>7</v>
      </c>
      <c r="AN48" s="2">
        <f t="shared" si="11"/>
        <v>2</v>
      </c>
      <c r="AO48" s="2" t="s">
        <v>39</v>
      </c>
    </row>
    <row r="49" spans="1:42">
      <c r="A49" s="2">
        <v>48</v>
      </c>
      <c r="B49" s="4" t="s">
        <v>17</v>
      </c>
      <c r="C49" s="2">
        <v>3</v>
      </c>
      <c r="E49" s="2">
        <v>0</v>
      </c>
      <c r="F49" s="2">
        <v>0</v>
      </c>
      <c r="G49" s="3">
        <f>ScoresTable[[#This Row],[Pre_Q2]]/30*10</f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3">
        <f t="shared" si="12"/>
        <v>0</v>
      </c>
      <c r="O49" s="2">
        <f t="shared" si="8"/>
        <v>0</v>
      </c>
      <c r="P49" s="2">
        <v>10</v>
      </c>
      <c r="Q49" s="2">
        <v>30</v>
      </c>
      <c r="R49" s="3">
        <f>ScoresTable[[#This Row],[Post_Q2]]/30*10</f>
        <v>10</v>
      </c>
      <c r="S49" s="2">
        <v>0</v>
      </c>
      <c r="T49" s="2">
        <v>3</v>
      </c>
      <c r="U49" s="2">
        <v>3</v>
      </c>
      <c r="V49" s="2">
        <v>5</v>
      </c>
      <c r="W49" s="2">
        <v>5</v>
      </c>
      <c r="X49" s="2">
        <v>5</v>
      </c>
      <c r="Y49" s="3">
        <f t="shared" si="13"/>
        <v>3.5</v>
      </c>
      <c r="Z49" s="2">
        <f t="shared" si="6"/>
        <v>61</v>
      </c>
      <c r="AA49" s="2">
        <v>10</v>
      </c>
      <c r="AB49" s="2">
        <v>30</v>
      </c>
      <c r="AC49" s="3">
        <f>ScoresTable[[#This Row],[Transfer_Q2]]/30*10</f>
        <v>10</v>
      </c>
      <c r="AD49" s="2">
        <v>0</v>
      </c>
      <c r="AE49" s="2">
        <v>5</v>
      </c>
      <c r="AF49" s="2">
        <v>5</v>
      </c>
      <c r="AG49" s="2">
        <v>0</v>
      </c>
      <c r="AH49" s="2">
        <v>5</v>
      </c>
      <c r="AI49" s="2">
        <v>5</v>
      </c>
      <c r="AJ49" s="3">
        <f t="shared" si="14"/>
        <v>3.333333333333333</v>
      </c>
      <c r="AK49" s="2">
        <f t="shared" si="7"/>
        <v>60</v>
      </c>
      <c r="AL49" s="2">
        <f t="shared" si="9"/>
        <v>61</v>
      </c>
      <c r="AM49" s="2">
        <f t="shared" si="10"/>
        <v>-1</v>
      </c>
      <c r="AN49" s="2">
        <f t="shared" si="11"/>
        <v>60</v>
      </c>
      <c r="AO49" s="2" t="s">
        <v>39</v>
      </c>
    </row>
    <row r="50" spans="1:42">
      <c r="A50" s="2">
        <v>49</v>
      </c>
      <c r="B50" s="4" t="s">
        <v>15</v>
      </c>
      <c r="C50" s="2">
        <v>3</v>
      </c>
      <c r="E50" s="2">
        <v>10</v>
      </c>
      <c r="F50" s="2">
        <v>0</v>
      </c>
      <c r="G50" s="3">
        <f>ScoresTable[[#This Row],[Pre_Q2]]/30*10</f>
        <v>0</v>
      </c>
      <c r="H50" s="2">
        <v>0</v>
      </c>
      <c r="I50" s="2">
        <v>3</v>
      </c>
      <c r="J50" s="2">
        <v>3</v>
      </c>
      <c r="K50" s="2">
        <v>0</v>
      </c>
      <c r="L50" s="2">
        <v>5</v>
      </c>
      <c r="M50" s="2">
        <v>5</v>
      </c>
      <c r="N50" s="3">
        <f t="shared" si="12"/>
        <v>2.6666666666666665</v>
      </c>
      <c r="O50" s="2">
        <f t="shared" si="8"/>
        <v>26</v>
      </c>
      <c r="P50" s="2">
        <v>10</v>
      </c>
      <c r="Q50" s="2">
        <v>30</v>
      </c>
      <c r="R50" s="3">
        <f>ScoresTable[[#This Row],[Post_Q2]]/30*10</f>
        <v>10</v>
      </c>
      <c r="S50" s="2">
        <v>5</v>
      </c>
      <c r="T50" s="2">
        <v>5</v>
      </c>
      <c r="U50" s="2">
        <v>10</v>
      </c>
      <c r="V50" s="2">
        <v>5</v>
      </c>
      <c r="W50" s="2">
        <v>5</v>
      </c>
      <c r="X50" s="2">
        <v>8</v>
      </c>
      <c r="Y50" s="3">
        <f t="shared" si="13"/>
        <v>6.333333333333333</v>
      </c>
      <c r="Z50" s="2">
        <f t="shared" si="6"/>
        <v>78</v>
      </c>
      <c r="AA50" s="2">
        <v>10</v>
      </c>
      <c r="AB50" s="2">
        <v>30</v>
      </c>
      <c r="AC50" s="3">
        <f>ScoresTable[[#This Row],[Transfer_Q2]]/30*10</f>
        <v>10</v>
      </c>
      <c r="AD50" s="2">
        <v>5</v>
      </c>
      <c r="AE50" s="2">
        <v>5</v>
      </c>
      <c r="AF50" s="2">
        <v>5</v>
      </c>
      <c r="AG50" s="2">
        <v>5</v>
      </c>
      <c r="AH50" s="2">
        <v>5</v>
      </c>
      <c r="AI50" s="2">
        <v>8</v>
      </c>
      <c r="AJ50" s="3">
        <f t="shared" si="14"/>
        <v>5.5</v>
      </c>
      <c r="AK50" s="2">
        <f t="shared" si="7"/>
        <v>73</v>
      </c>
      <c r="AL50" s="2">
        <f t="shared" si="9"/>
        <v>52</v>
      </c>
      <c r="AM50" s="2">
        <f t="shared" si="10"/>
        <v>-5</v>
      </c>
      <c r="AN50" s="2">
        <f t="shared" si="11"/>
        <v>47</v>
      </c>
      <c r="AO50" s="2" t="s">
        <v>39</v>
      </c>
    </row>
    <row r="51" spans="1:42">
      <c r="A51" s="2">
        <v>50</v>
      </c>
      <c r="B51" s="4" t="s">
        <v>17</v>
      </c>
      <c r="C51" s="2">
        <v>3</v>
      </c>
      <c r="D51" t="s">
        <v>93</v>
      </c>
      <c r="E51" s="2">
        <v>10</v>
      </c>
      <c r="F51" s="2">
        <v>0</v>
      </c>
      <c r="G51" s="3">
        <f>ScoresTable[[#This Row],[Pre_Q2]]/30*10</f>
        <v>0</v>
      </c>
      <c r="H51" s="2">
        <v>0</v>
      </c>
      <c r="I51" s="2">
        <v>3</v>
      </c>
      <c r="J51" s="2">
        <v>3</v>
      </c>
      <c r="K51" s="2">
        <v>5</v>
      </c>
      <c r="L51" s="2">
        <v>5</v>
      </c>
      <c r="M51" s="2">
        <v>3</v>
      </c>
      <c r="N51" s="3">
        <f t="shared" si="12"/>
        <v>3.1666666666666665</v>
      </c>
      <c r="O51" s="2">
        <f t="shared" si="8"/>
        <v>29</v>
      </c>
      <c r="P51" s="2">
        <v>10</v>
      </c>
      <c r="Q51" s="2">
        <v>0</v>
      </c>
      <c r="R51" s="3">
        <f>ScoresTable[[#This Row],[Post_Q2]]/30*10</f>
        <v>0</v>
      </c>
      <c r="S51" s="2">
        <v>5</v>
      </c>
      <c r="T51" s="2">
        <v>3</v>
      </c>
      <c r="U51" s="2">
        <v>3</v>
      </c>
      <c r="V51" s="2">
        <v>5</v>
      </c>
      <c r="W51" s="2">
        <v>5</v>
      </c>
      <c r="X51" s="2">
        <v>3</v>
      </c>
      <c r="Y51" s="3">
        <f t="shared" si="13"/>
        <v>4</v>
      </c>
      <c r="Z51" s="2">
        <f t="shared" si="6"/>
        <v>34</v>
      </c>
      <c r="AA51" s="2">
        <v>10</v>
      </c>
      <c r="AB51" s="2">
        <v>30</v>
      </c>
      <c r="AC51" s="3">
        <f>ScoresTable[[#This Row],[Transfer_Q2]]/30*10</f>
        <v>10</v>
      </c>
      <c r="AD51" s="2">
        <v>0</v>
      </c>
      <c r="AE51" s="2">
        <v>10</v>
      </c>
      <c r="AF51" s="2">
        <v>10</v>
      </c>
      <c r="AG51" s="2">
        <v>5</v>
      </c>
      <c r="AH51" s="2">
        <v>5</v>
      </c>
      <c r="AI51" s="2">
        <v>5</v>
      </c>
      <c r="AJ51" s="3">
        <f t="shared" si="14"/>
        <v>5.8333333333333339</v>
      </c>
      <c r="AK51" s="2">
        <f t="shared" si="7"/>
        <v>75</v>
      </c>
      <c r="AL51" s="2">
        <f t="shared" si="9"/>
        <v>5</v>
      </c>
      <c r="AM51" s="2">
        <f t="shared" si="10"/>
        <v>41</v>
      </c>
      <c r="AN51" s="2">
        <f t="shared" si="11"/>
        <v>46</v>
      </c>
      <c r="AO51" s="2" t="s">
        <v>43</v>
      </c>
      <c r="AP51" s="14"/>
    </row>
    <row r="52" spans="1:42">
      <c r="A52" s="2">
        <v>51</v>
      </c>
      <c r="B52" s="4" t="s">
        <v>17</v>
      </c>
      <c r="C52" s="2">
        <v>3</v>
      </c>
      <c r="E52" s="2">
        <v>0</v>
      </c>
      <c r="F52" s="2">
        <v>20</v>
      </c>
      <c r="G52" s="3">
        <f>ScoresTable[[#This Row],[Pre_Q2]]/30*10</f>
        <v>6.6666666666666661</v>
      </c>
      <c r="H52" s="2">
        <v>0</v>
      </c>
      <c r="I52" s="2">
        <v>0</v>
      </c>
      <c r="J52" s="2">
        <v>3</v>
      </c>
      <c r="K52" s="2">
        <v>5</v>
      </c>
      <c r="L52" s="2">
        <v>5</v>
      </c>
      <c r="M52" s="2">
        <v>3</v>
      </c>
      <c r="N52" s="3">
        <f t="shared" si="12"/>
        <v>2.6666666666666665</v>
      </c>
      <c r="O52" s="2">
        <f t="shared" si="8"/>
        <v>36</v>
      </c>
      <c r="P52" s="2">
        <v>0</v>
      </c>
      <c r="Q52" s="2">
        <v>5</v>
      </c>
      <c r="R52" s="3">
        <f>ScoresTable[[#This Row],[Post_Q2]]/30*10</f>
        <v>1.6666666666666665</v>
      </c>
      <c r="S52" s="2">
        <v>10</v>
      </c>
      <c r="T52" s="2">
        <v>5</v>
      </c>
      <c r="U52" s="2">
        <v>10</v>
      </c>
      <c r="V52" s="2">
        <v>10</v>
      </c>
      <c r="W52" s="2">
        <v>10</v>
      </c>
      <c r="X52" s="2">
        <v>8</v>
      </c>
      <c r="Y52" s="3">
        <f t="shared" si="13"/>
        <v>8.8333333333333321</v>
      </c>
      <c r="Z52" s="2">
        <f t="shared" si="6"/>
        <v>58</v>
      </c>
      <c r="AA52" s="2">
        <v>0</v>
      </c>
      <c r="AB52" s="2">
        <v>30</v>
      </c>
      <c r="AC52" s="3">
        <f>ScoresTable[[#This Row],[Transfer_Q2]]/30*10</f>
        <v>10</v>
      </c>
      <c r="AD52" s="2">
        <v>5</v>
      </c>
      <c r="AE52" s="2">
        <v>5</v>
      </c>
      <c r="AF52" s="2">
        <v>10</v>
      </c>
      <c r="AG52" s="2">
        <v>10</v>
      </c>
      <c r="AH52" s="2">
        <v>10</v>
      </c>
      <c r="AI52" s="2">
        <v>8</v>
      </c>
      <c r="AJ52" s="3">
        <f t="shared" si="14"/>
        <v>8</v>
      </c>
      <c r="AK52" s="2">
        <f t="shared" si="7"/>
        <v>78</v>
      </c>
      <c r="AL52" s="2">
        <f t="shared" si="9"/>
        <v>22</v>
      </c>
      <c r="AM52" s="2">
        <f t="shared" si="10"/>
        <v>20</v>
      </c>
      <c r="AN52" s="2">
        <f t="shared" si="11"/>
        <v>42</v>
      </c>
      <c r="AO52" s="2" t="s">
        <v>39</v>
      </c>
    </row>
    <row r="53" spans="1:42">
      <c r="A53" s="2">
        <v>52</v>
      </c>
      <c r="B53" s="4" t="s">
        <v>15</v>
      </c>
      <c r="C53" s="2">
        <v>3</v>
      </c>
      <c r="E53" s="2">
        <v>0</v>
      </c>
      <c r="F53" s="2">
        <v>0</v>
      </c>
      <c r="G53" s="3">
        <f>ScoresTable[[#This Row],[Pre_Q2]]/30*10</f>
        <v>0</v>
      </c>
      <c r="H53" s="2">
        <v>0</v>
      </c>
      <c r="I53" s="2">
        <v>0</v>
      </c>
      <c r="J53" s="2">
        <v>3</v>
      </c>
      <c r="K53" s="2">
        <v>5</v>
      </c>
      <c r="L53" s="2">
        <v>3</v>
      </c>
      <c r="M53" s="2">
        <v>3</v>
      </c>
      <c r="N53" s="3">
        <f t="shared" si="12"/>
        <v>2.3333333333333335</v>
      </c>
      <c r="O53" s="2">
        <f t="shared" si="8"/>
        <v>14</v>
      </c>
      <c r="P53" s="2">
        <v>10</v>
      </c>
      <c r="Q53" s="2">
        <v>30</v>
      </c>
      <c r="R53" s="3">
        <f>ScoresTable[[#This Row],[Post_Q2]]/30*10</f>
        <v>10</v>
      </c>
      <c r="S53" s="2">
        <v>0</v>
      </c>
      <c r="T53" s="2">
        <v>10</v>
      </c>
      <c r="U53" s="2">
        <v>10</v>
      </c>
      <c r="V53" s="2">
        <v>0</v>
      </c>
      <c r="W53" s="2">
        <v>5</v>
      </c>
      <c r="X53" s="2">
        <v>5</v>
      </c>
      <c r="Y53" s="3">
        <f t="shared" si="13"/>
        <v>5</v>
      </c>
      <c r="Z53" s="2">
        <f t="shared" si="6"/>
        <v>70</v>
      </c>
      <c r="AA53" s="2">
        <v>0</v>
      </c>
      <c r="AB53" s="2">
        <v>10</v>
      </c>
      <c r="AC53" s="3">
        <f>ScoresTable[[#This Row],[Transfer_Q2]]/30*10</f>
        <v>3.333333333333333</v>
      </c>
      <c r="AD53" s="2">
        <v>0</v>
      </c>
      <c r="AE53" s="2">
        <v>3</v>
      </c>
      <c r="AF53" s="2">
        <v>5</v>
      </c>
      <c r="AG53" s="2">
        <v>5</v>
      </c>
      <c r="AH53" s="2">
        <v>5</v>
      </c>
      <c r="AI53" s="2">
        <v>5</v>
      </c>
      <c r="AJ53" s="3">
        <f t="shared" si="14"/>
        <v>3.8333333333333335</v>
      </c>
      <c r="AK53" s="2">
        <f t="shared" si="7"/>
        <v>33</v>
      </c>
      <c r="AL53" s="2">
        <f t="shared" si="9"/>
        <v>56</v>
      </c>
      <c r="AM53" s="2">
        <f t="shared" si="10"/>
        <v>-37</v>
      </c>
      <c r="AN53" s="2">
        <f t="shared" si="11"/>
        <v>19</v>
      </c>
      <c r="AO53" s="2" t="s">
        <v>39</v>
      </c>
    </row>
    <row r="54" spans="1:42">
      <c r="A54" s="2">
        <v>53</v>
      </c>
      <c r="B54" s="4" t="s">
        <v>16</v>
      </c>
      <c r="C54" s="2">
        <v>3</v>
      </c>
      <c r="D54" t="s">
        <v>81</v>
      </c>
      <c r="E54" s="2">
        <v>10</v>
      </c>
      <c r="F54" s="2">
        <v>0</v>
      </c>
      <c r="G54" s="3">
        <f>ScoresTable[[#This Row],[Pre_Q2]]/30*10</f>
        <v>0</v>
      </c>
      <c r="H54" s="2">
        <v>0</v>
      </c>
      <c r="I54" s="2">
        <v>3</v>
      </c>
      <c r="J54" s="2">
        <v>3</v>
      </c>
      <c r="K54" s="2">
        <v>5</v>
      </c>
      <c r="L54" s="2">
        <v>5</v>
      </c>
      <c r="M54" s="2">
        <v>3</v>
      </c>
      <c r="N54" s="3">
        <f t="shared" si="12"/>
        <v>3.1666666666666665</v>
      </c>
      <c r="O54" s="2">
        <f t="shared" si="8"/>
        <v>29</v>
      </c>
      <c r="P54" s="2">
        <v>10</v>
      </c>
      <c r="Q54" s="2">
        <v>30</v>
      </c>
      <c r="R54" s="3">
        <f>ScoresTable[[#This Row],[Post_Q2]]/30*10</f>
        <v>10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3">
        <f t="shared" si="13"/>
        <v>0</v>
      </c>
      <c r="Z54" s="2">
        <f t="shared" si="6"/>
        <v>40</v>
      </c>
      <c r="AA54" s="2">
        <v>10</v>
      </c>
      <c r="AB54" s="2">
        <v>0</v>
      </c>
      <c r="AC54" s="3">
        <f>ScoresTable[[#This Row],[Transfer_Q2]]/30*10</f>
        <v>0</v>
      </c>
      <c r="AD54" s="2">
        <v>0</v>
      </c>
      <c r="AE54" s="2">
        <v>3</v>
      </c>
      <c r="AF54" s="2">
        <v>3</v>
      </c>
      <c r="AG54" s="2">
        <v>5</v>
      </c>
      <c r="AH54" s="2">
        <v>5</v>
      </c>
      <c r="AI54" s="2">
        <v>3</v>
      </c>
      <c r="AJ54" s="3">
        <f t="shared" si="14"/>
        <v>3.1666666666666665</v>
      </c>
      <c r="AK54" s="2">
        <f t="shared" si="7"/>
        <v>29</v>
      </c>
      <c r="AL54" s="2">
        <f t="shared" si="9"/>
        <v>11</v>
      </c>
      <c r="AM54" s="2">
        <f t="shared" si="10"/>
        <v>-11</v>
      </c>
      <c r="AN54" s="2">
        <f t="shared" si="11"/>
        <v>0</v>
      </c>
      <c r="AO54" s="2" t="s">
        <v>39</v>
      </c>
    </row>
    <row r="55" spans="1:42">
      <c r="A55" s="2">
        <v>54</v>
      </c>
      <c r="B55" s="4" t="s">
        <v>17</v>
      </c>
      <c r="C55" s="2">
        <v>3</v>
      </c>
      <c r="D55" t="s">
        <v>81</v>
      </c>
      <c r="E55" s="2">
        <v>10</v>
      </c>
      <c r="F55" s="2">
        <v>0</v>
      </c>
      <c r="G55" s="3">
        <f>ScoresTable[[#This Row],[Pre_Q2]]/30*10</f>
        <v>0</v>
      </c>
      <c r="H55" s="2">
        <v>0</v>
      </c>
      <c r="I55" s="2">
        <v>3</v>
      </c>
      <c r="J55" s="2">
        <v>3</v>
      </c>
      <c r="K55" s="2">
        <v>0</v>
      </c>
      <c r="L55" s="2">
        <v>0</v>
      </c>
      <c r="M55" s="2">
        <v>3</v>
      </c>
      <c r="N55" s="3">
        <f t="shared" si="12"/>
        <v>1.5</v>
      </c>
      <c r="O55" s="2">
        <f t="shared" si="8"/>
        <v>19</v>
      </c>
      <c r="P55" s="2">
        <v>10</v>
      </c>
      <c r="Q55" s="2">
        <v>0</v>
      </c>
      <c r="R55" s="3">
        <f>ScoresTable[[#This Row],[Post_Q2]]/30*10</f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3">
        <f t="shared" si="13"/>
        <v>0</v>
      </c>
      <c r="Z55" s="2">
        <f t="shared" si="6"/>
        <v>10</v>
      </c>
      <c r="AA55" s="2">
        <v>10</v>
      </c>
      <c r="AB55" s="2">
        <v>0</v>
      </c>
      <c r="AC55" s="3">
        <f>ScoresTable[[#This Row],[Transfer_Q2]]/30*10</f>
        <v>0</v>
      </c>
      <c r="AD55" s="2">
        <v>0</v>
      </c>
      <c r="AE55" s="2">
        <v>3</v>
      </c>
      <c r="AF55" s="2">
        <v>3</v>
      </c>
      <c r="AG55" s="2">
        <v>0</v>
      </c>
      <c r="AH55" s="2">
        <v>0</v>
      </c>
      <c r="AI55" s="2">
        <v>3</v>
      </c>
      <c r="AJ55" s="3">
        <f t="shared" si="14"/>
        <v>1.5</v>
      </c>
      <c r="AK55" s="2">
        <f t="shared" si="7"/>
        <v>19</v>
      </c>
      <c r="AL55" s="2">
        <f t="shared" si="9"/>
        <v>-9</v>
      </c>
      <c r="AM55" s="2">
        <f t="shared" si="10"/>
        <v>9</v>
      </c>
      <c r="AN55" s="2">
        <f t="shared" si="11"/>
        <v>0</v>
      </c>
      <c r="AO55" s="2" t="s">
        <v>39</v>
      </c>
    </row>
    <row r="56" spans="1:42">
      <c r="A56" s="2">
        <v>55</v>
      </c>
      <c r="B56" s="4" t="s">
        <v>17</v>
      </c>
      <c r="C56" s="2">
        <v>3</v>
      </c>
      <c r="D56" t="s">
        <v>92</v>
      </c>
      <c r="E56" s="2">
        <v>10</v>
      </c>
      <c r="F56" s="2">
        <v>20</v>
      </c>
      <c r="G56" s="3">
        <f>ScoresTable[[#This Row],[Pre_Q2]]/30*10</f>
        <v>6.6666666666666661</v>
      </c>
      <c r="H56" s="2">
        <v>0</v>
      </c>
      <c r="I56" s="2">
        <v>3</v>
      </c>
      <c r="J56" s="2">
        <v>0</v>
      </c>
      <c r="K56" s="2">
        <v>0</v>
      </c>
      <c r="L56" s="2">
        <v>5</v>
      </c>
      <c r="M56" s="2">
        <v>3</v>
      </c>
      <c r="N56" s="3">
        <f t="shared" si="12"/>
        <v>1.8333333333333333</v>
      </c>
      <c r="O56" s="2">
        <f t="shared" si="8"/>
        <v>41</v>
      </c>
      <c r="P56" s="2">
        <v>10</v>
      </c>
      <c r="Q56" s="2">
        <v>0</v>
      </c>
      <c r="R56" s="3">
        <f>ScoresTable[[#This Row],[Post_Q2]]/30*10</f>
        <v>0</v>
      </c>
      <c r="S56" s="2">
        <v>0</v>
      </c>
      <c r="T56" s="2">
        <v>3</v>
      </c>
      <c r="U56" s="2">
        <v>3</v>
      </c>
      <c r="V56" s="2">
        <v>5</v>
      </c>
      <c r="W56" s="2">
        <v>5</v>
      </c>
      <c r="X56" s="2">
        <v>8</v>
      </c>
      <c r="Y56" s="3">
        <f t="shared" si="13"/>
        <v>4</v>
      </c>
      <c r="Z56" s="2">
        <f t="shared" si="6"/>
        <v>34</v>
      </c>
      <c r="AA56" s="2">
        <v>10</v>
      </c>
      <c r="AB56" s="2">
        <v>0</v>
      </c>
      <c r="AC56" s="3">
        <f>ScoresTable[[#This Row],[Transfer_Q2]]/30*10</f>
        <v>0</v>
      </c>
      <c r="AD56" s="2">
        <v>0</v>
      </c>
      <c r="AE56" s="2">
        <v>3</v>
      </c>
      <c r="AF56" s="2">
        <v>5</v>
      </c>
      <c r="AG56" s="2">
        <v>5</v>
      </c>
      <c r="AH56" s="2">
        <v>5</v>
      </c>
      <c r="AI56" s="2">
        <v>8</v>
      </c>
      <c r="AJ56" s="3">
        <f t="shared" si="14"/>
        <v>4.3333333333333339</v>
      </c>
      <c r="AK56" s="2">
        <f t="shared" si="7"/>
        <v>36</v>
      </c>
      <c r="AL56" s="2">
        <f t="shared" si="9"/>
        <v>-7</v>
      </c>
      <c r="AM56" s="2">
        <f t="shared" si="10"/>
        <v>2</v>
      </c>
      <c r="AN56" s="2">
        <f t="shared" si="11"/>
        <v>-5</v>
      </c>
      <c r="AO56" s="2" t="s">
        <v>39</v>
      </c>
    </row>
    <row r="57" spans="1:42">
      <c r="A57" s="2">
        <v>56</v>
      </c>
      <c r="B57" s="4" t="s">
        <v>16</v>
      </c>
      <c r="C57" s="2">
        <v>3</v>
      </c>
      <c r="E57" s="2">
        <v>10</v>
      </c>
      <c r="F57" s="2">
        <v>20</v>
      </c>
      <c r="G57" s="3">
        <f>ScoresTable[[#This Row],[Pre_Q2]]/30*10</f>
        <v>6.6666666666666661</v>
      </c>
      <c r="H57" s="2">
        <v>0</v>
      </c>
      <c r="I57" s="2">
        <v>3</v>
      </c>
      <c r="J57" s="2">
        <v>3</v>
      </c>
      <c r="K57" s="2">
        <v>0</v>
      </c>
      <c r="L57" s="2">
        <v>5</v>
      </c>
      <c r="M57" s="2">
        <v>5</v>
      </c>
      <c r="N57" s="3">
        <f t="shared" si="12"/>
        <v>2.6666666666666665</v>
      </c>
      <c r="O57" s="2">
        <f t="shared" si="8"/>
        <v>46</v>
      </c>
      <c r="P57" s="2">
        <v>10</v>
      </c>
      <c r="Q57" s="2">
        <v>30</v>
      </c>
      <c r="R57" s="3">
        <f>ScoresTable[[#This Row],[Post_Q2]]/30*10</f>
        <v>10</v>
      </c>
      <c r="S57" s="2">
        <v>0</v>
      </c>
      <c r="T57" s="2">
        <v>5</v>
      </c>
      <c r="U57" s="2">
        <v>5</v>
      </c>
      <c r="V57" s="2">
        <v>0</v>
      </c>
      <c r="W57" s="2">
        <v>5</v>
      </c>
      <c r="X57" s="2">
        <v>5</v>
      </c>
      <c r="Y57" s="3">
        <f t="shared" si="13"/>
        <v>3.333333333333333</v>
      </c>
      <c r="Z57" s="2">
        <f t="shared" si="6"/>
        <v>60</v>
      </c>
      <c r="AA57" s="2">
        <v>10</v>
      </c>
      <c r="AB57" s="2">
        <v>30</v>
      </c>
      <c r="AC57" s="3">
        <f>ScoresTable[[#This Row],[Transfer_Q2]]/30*10</f>
        <v>10</v>
      </c>
      <c r="AD57" s="2">
        <v>0</v>
      </c>
      <c r="AE57" s="2">
        <v>5</v>
      </c>
      <c r="AF57" s="2">
        <v>5</v>
      </c>
      <c r="AG57" s="2">
        <v>5</v>
      </c>
      <c r="AH57" s="2">
        <v>5</v>
      </c>
      <c r="AI57" s="2">
        <v>5</v>
      </c>
      <c r="AJ57" s="3">
        <f t="shared" si="14"/>
        <v>4.166666666666667</v>
      </c>
      <c r="AK57" s="2">
        <f t="shared" si="7"/>
        <v>65</v>
      </c>
      <c r="AL57" s="2">
        <f t="shared" si="9"/>
        <v>14</v>
      </c>
      <c r="AM57" s="2">
        <f t="shared" si="10"/>
        <v>5</v>
      </c>
      <c r="AN57" s="2">
        <f t="shared" si="11"/>
        <v>19</v>
      </c>
      <c r="AO57" s="2" t="s">
        <v>39</v>
      </c>
    </row>
    <row r="58" spans="1:42">
      <c r="A58" s="2">
        <v>57</v>
      </c>
      <c r="B58" s="4" t="s">
        <v>17</v>
      </c>
      <c r="C58" s="2">
        <v>3</v>
      </c>
      <c r="E58" s="2">
        <v>0</v>
      </c>
      <c r="F58" s="2">
        <v>0</v>
      </c>
      <c r="G58" s="3">
        <f>ScoresTable[[#This Row],[Pre_Q2]]/30*10</f>
        <v>0</v>
      </c>
      <c r="H58" s="2">
        <v>0</v>
      </c>
      <c r="I58" s="2">
        <v>3</v>
      </c>
      <c r="J58" s="2">
        <v>0</v>
      </c>
      <c r="K58" s="2">
        <v>0</v>
      </c>
      <c r="L58" s="2">
        <v>5</v>
      </c>
      <c r="M58" s="2">
        <v>3</v>
      </c>
      <c r="N58" s="3">
        <f t="shared" si="12"/>
        <v>1.8333333333333333</v>
      </c>
      <c r="O58" s="2">
        <f t="shared" si="8"/>
        <v>11</v>
      </c>
      <c r="P58" s="2">
        <v>10</v>
      </c>
      <c r="Q58" s="2">
        <v>20</v>
      </c>
      <c r="R58" s="3">
        <f>ScoresTable[[#This Row],[Post_Q2]]/30*10</f>
        <v>6.6666666666666661</v>
      </c>
      <c r="S58" s="2">
        <v>0</v>
      </c>
      <c r="T58" s="2">
        <v>5</v>
      </c>
      <c r="U58" s="2">
        <v>5</v>
      </c>
      <c r="V58" s="2">
        <v>0</v>
      </c>
      <c r="W58" s="2">
        <v>5</v>
      </c>
      <c r="X58" s="2">
        <v>5</v>
      </c>
      <c r="Y58" s="3">
        <f t="shared" si="13"/>
        <v>3.333333333333333</v>
      </c>
      <c r="Z58" s="2">
        <f t="shared" si="6"/>
        <v>50</v>
      </c>
      <c r="AA58" s="2">
        <v>10</v>
      </c>
      <c r="AB58" s="2">
        <v>10</v>
      </c>
      <c r="AC58" s="3">
        <f>ScoresTable[[#This Row],[Transfer_Q2]]/30*10</f>
        <v>3.333333333333333</v>
      </c>
      <c r="AD58" s="2">
        <v>0</v>
      </c>
      <c r="AE58" s="2">
        <v>3</v>
      </c>
      <c r="AF58" s="2">
        <v>3</v>
      </c>
      <c r="AG58" s="2">
        <v>0</v>
      </c>
      <c r="AH58" s="2">
        <v>5</v>
      </c>
      <c r="AI58" s="2">
        <v>5</v>
      </c>
      <c r="AJ58" s="3">
        <f t="shared" si="14"/>
        <v>2.6666666666666665</v>
      </c>
      <c r="AK58" s="2">
        <f t="shared" si="7"/>
        <v>36</v>
      </c>
      <c r="AL58" s="2">
        <f t="shared" si="9"/>
        <v>39</v>
      </c>
      <c r="AM58" s="2">
        <f t="shared" si="10"/>
        <v>-14</v>
      </c>
      <c r="AN58" s="2">
        <f t="shared" si="11"/>
        <v>25</v>
      </c>
      <c r="AO58" s="2" t="s">
        <v>39</v>
      </c>
    </row>
    <row r="59" spans="1:42">
      <c r="A59" s="2">
        <v>58</v>
      </c>
      <c r="B59" s="4" t="s">
        <v>15</v>
      </c>
      <c r="C59" s="2">
        <v>3</v>
      </c>
      <c r="D59" t="s">
        <v>86</v>
      </c>
      <c r="E59" s="2">
        <v>0</v>
      </c>
      <c r="F59" s="2">
        <v>0</v>
      </c>
      <c r="G59" s="3">
        <f>ScoresTable[[#This Row],[Pre_Q2]]/30*10</f>
        <v>0</v>
      </c>
      <c r="H59" s="2">
        <v>0</v>
      </c>
      <c r="I59" s="2">
        <v>3</v>
      </c>
      <c r="J59" s="2">
        <v>0</v>
      </c>
      <c r="K59" s="2">
        <v>0</v>
      </c>
      <c r="L59" s="2">
        <v>0</v>
      </c>
      <c r="M59" s="2">
        <v>3</v>
      </c>
      <c r="N59" s="3">
        <f t="shared" si="12"/>
        <v>1</v>
      </c>
      <c r="O59" s="2">
        <f t="shared" si="8"/>
        <v>6</v>
      </c>
      <c r="P59" s="2">
        <v>0</v>
      </c>
      <c r="Q59" s="2">
        <v>30</v>
      </c>
      <c r="R59" s="3">
        <f>ScoresTable[[#This Row],[Post_Q2]]/30*10</f>
        <v>10</v>
      </c>
      <c r="S59" s="2">
        <v>0</v>
      </c>
      <c r="T59" s="2">
        <v>5</v>
      </c>
      <c r="U59" s="2">
        <v>5</v>
      </c>
      <c r="V59" s="2">
        <v>0</v>
      </c>
      <c r="W59" s="2">
        <v>5</v>
      </c>
      <c r="X59" s="2">
        <v>5</v>
      </c>
      <c r="Y59" s="3">
        <f t="shared" si="13"/>
        <v>3.333333333333333</v>
      </c>
      <c r="Z59" s="2">
        <f t="shared" si="6"/>
        <v>50</v>
      </c>
      <c r="AA59" s="2">
        <v>0</v>
      </c>
      <c r="AB59" s="2">
        <v>0</v>
      </c>
      <c r="AC59" s="3">
        <f>ScoresTable[[#This Row],[Transfer_Q2]]/30*10</f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3">
        <f t="shared" si="14"/>
        <v>0</v>
      </c>
      <c r="AK59" s="2">
        <f t="shared" si="7"/>
        <v>0</v>
      </c>
      <c r="AL59" s="2">
        <f t="shared" si="9"/>
        <v>44</v>
      </c>
      <c r="AM59" s="2">
        <f t="shared" si="10"/>
        <v>-50</v>
      </c>
      <c r="AN59" s="2">
        <f t="shared" si="11"/>
        <v>-6</v>
      </c>
      <c r="AO59" s="2" t="s">
        <v>43</v>
      </c>
      <c r="AP59" s="14"/>
    </row>
    <row r="60" spans="1:42">
      <c r="A60" s="2">
        <v>59</v>
      </c>
      <c r="B60" s="4" t="s">
        <v>16</v>
      </c>
      <c r="C60" s="2">
        <v>3</v>
      </c>
      <c r="E60" s="2">
        <v>0</v>
      </c>
      <c r="F60" s="2">
        <v>20</v>
      </c>
      <c r="G60" s="3">
        <f>ScoresTable[[#This Row],[Pre_Q2]]/30*10</f>
        <v>6.6666666666666661</v>
      </c>
      <c r="H60" s="2">
        <v>0</v>
      </c>
      <c r="I60" s="2">
        <v>0</v>
      </c>
      <c r="J60" s="2">
        <v>3</v>
      </c>
      <c r="K60" s="2">
        <v>0</v>
      </c>
      <c r="L60" s="2">
        <v>0</v>
      </c>
      <c r="M60" s="2">
        <v>3</v>
      </c>
      <c r="N60" s="3">
        <f t="shared" si="12"/>
        <v>1</v>
      </c>
      <c r="O60" s="2">
        <f t="shared" si="8"/>
        <v>26</v>
      </c>
      <c r="P60" s="2">
        <v>10</v>
      </c>
      <c r="Q60" s="2">
        <v>20</v>
      </c>
      <c r="R60" s="3">
        <f>ScoresTable[[#This Row],[Post_Q2]]/30*10</f>
        <v>6.6666666666666661</v>
      </c>
      <c r="S60" s="2">
        <v>0</v>
      </c>
      <c r="T60" s="2">
        <v>3</v>
      </c>
      <c r="U60" s="2">
        <v>3</v>
      </c>
      <c r="V60" s="2">
        <v>0</v>
      </c>
      <c r="W60" s="2">
        <v>5</v>
      </c>
      <c r="X60" s="2">
        <v>5</v>
      </c>
      <c r="Y60" s="3">
        <f t="shared" si="13"/>
        <v>2.6666666666666665</v>
      </c>
      <c r="Z60" s="2">
        <f t="shared" si="6"/>
        <v>46</v>
      </c>
      <c r="AA60" s="2">
        <v>10</v>
      </c>
      <c r="AB60" s="2">
        <v>20</v>
      </c>
      <c r="AC60" s="3">
        <f>ScoresTable[[#This Row],[Transfer_Q2]]/30*10</f>
        <v>6.6666666666666661</v>
      </c>
      <c r="AD60" s="2">
        <v>0</v>
      </c>
      <c r="AE60" s="2">
        <v>5</v>
      </c>
      <c r="AF60" s="2">
        <v>5</v>
      </c>
      <c r="AG60" s="2">
        <v>0</v>
      </c>
      <c r="AH60" s="2">
        <v>0</v>
      </c>
      <c r="AI60" s="2">
        <v>5</v>
      </c>
      <c r="AJ60" s="3">
        <f t="shared" si="14"/>
        <v>2.5</v>
      </c>
      <c r="AK60" s="2">
        <f t="shared" si="7"/>
        <v>45</v>
      </c>
      <c r="AL60" s="2">
        <f t="shared" si="9"/>
        <v>20</v>
      </c>
      <c r="AM60" s="2">
        <f t="shared" si="10"/>
        <v>-1</v>
      </c>
      <c r="AN60" s="2">
        <f t="shared" si="11"/>
        <v>19</v>
      </c>
      <c r="AO60" s="2" t="s">
        <v>39</v>
      </c>
    </row>
    <row r="61" spans="1:42">
      <c r="A61" s="2">
        <v>60</v>
      </c>
      <c r="B61" s="4" t="s">
        <v>17</v>
      </c>
      <c r="C61" s="2">
        <v>3</v>
      </c>
      <c r="E61" s="2">
        <v>0</v>
      </c>
      <c r="F61" s="2">
        <v>20</v>
      </c>
      <c r="G61" s="3">
        <f>ScoresTable[[#This Row],[Pre_Q2]]/30*10</f>
        <v>6.6666666666666661</v>
      </c>
      <c r="H61" s="2">
        <v>0</v>
      </c>
      <c r="I61" s="2">
        <v>3</v>
      </c>
      <c r="J61" s="2">
        <v>0</v>
      </c>
      <c r="K61" s="2">
        <v>0</v>
      </c>
      <c r="L61" s="2">
        <v>5</v>
      </c>
      <c r="M61" s="2">
        <v>5</v>
      </c>
      <c r="N61" s="3">
        <f t="shared" si="12"/>
        <v>2.166666666666667</v>
      </c>
      <c r="O61" s="2">
        <f t="shared" si="8"/>
        <v>33</v>
      </c>
      <c r="P61" s="2">
        <v>10</v>
      </c>
      <c r="Q61" s="2">
        <v>20</v>
      </c>
      <c r="R61" s="3">
        <f>ScoresTable[[#This Row],[Post_Q2]]/30*10</f>
        <v>6.6666666666666661</v>
      </c>
      <c r="S61" s="2">
        <v>5</v>
      </c>
      <c r="T61" s="2">
        <v>3</v>
      </c>
      <c r="U61" s="2">
        <v>3</v>
      </c>
      <c r="V61" s="2">
        <v>5</v>
      </c>
      <c r="W61" s="2">
        <v>5</v>
      </c>
      <c r="X61" s="2">
        <v>5</v>
      </c>
      <c r="Y61" s="3">
        <f t="shared" si="13"/>
        <v>4.3333333333333339</v>
      </c>
      <c r="Z61" s="2">
        <f t="shared" si="6"/>
        <v>56</v>
      </c>
      <c r="AA61" s="2">
        <v>10</v>
      </c>
      <c r="AB61" s="2">
        <v>0</v>
      </c>
      <c r="AC61" s="3">
        <f>ScoresTable[[#This Row],[Transfer_Q2]]/30*10</f>
        <v>0</v>
      </c>
      <c r="AD61" s="2">
        <v>0</v>
      </c>
      <c r="AE61" s="2">
        <v>3</v>
      </c>
      <c r="AF61" s="2">
        <v>3</v>
      </c>
      <c r="AG61" s="2">
        <v>0</v>
      </c>
      <c r="AH61" s="2">
        <v>5</v>
      </c>
      <c r="AI61" s="2">
        <v>5</v>
      </c>
      <c r="AJ61" s="3">
        <f t="shared" si="14"/>
        <v>2.6666666666666665</v>
      </c>
      <c r="AK61" s="2">
        <f t="shared" si="7"/>
        <v>26</v>
      </c>
      <c r="AL61" s="2">
        <f t="shared" si="9"/>
        <v>23</v>
      </c>
      <c r="AM61" s="2">
        <f t="shared" si="10"/>
        <v>-30</v>
      </c>
      <c r="AN61" s="2">
        <f t="shared" si="11"/>
        <v>-7</v>
      </c>
      <c r="AO61" s="2" t="s">
        <v>39</v>
      </c>
    </row>
    <row r="62" spans="1:42">
      <c r="A62" s="2">
        <v>61</v>
      </c>
      <c r="B62" s="4" t="s">
        <v>15</v>
      </c>
      <c r="C62" s="2">
        <v>3</v>
      </c>
      <c r="E62" s="2">
        <v>10</v>
      </c>
      <c r="F62" s="2">
        <v>0</v>
      </c>
      <c r="G62" s="3">
        <f>ScoresTable[[#This Row],[Pre_Q2]]/30*10</f>
        <v>0</v>
      </c>
      <c r="H62" s="2">
        <v>0</v>
      </c>
      <c r="I62" s="2">
        <v>3</v>
      </c>
      <c r="J62" s="2">
        <v>0</v>
      </c>
      <c r="K62" s="2">
        <v>0</v>
      </c>
      <c r="L62" s="2">
        <v>5</v>
      </c>
      <c r="M62" s="2">
        <v>5</v>
      </c>
      <c r="N62" s="3">
        <f>(SUM(H62:M62))/60*10</f>
        <v>2.166666666666667</v>
      </c>
      <c r="O62" s="2">
        <f t="shared" si="8"/>
        <v>23</v>
      </c>
      <c r="P62" s="2">
        <v>0</v>
      </c>
      <c r="Q62" s="2">
        <v>30</v>
      </c>
      <c r="R62" s="3">
        <f>ScoresTable[[#This Row],[Post_Q2]]/30*10</f>
        <v>10</v>
      </c>
      <c r="S62" s="2">
        <v>0</v>
      </c>
      <c r="T62" s="2">
        <v>10</v>
      </c>
      <c r="U62" s="2">
        <v>0</v>
      </c>
      <c r="V62" s="2">
        <v>0</v>
      </c>
      <c r="W62" s="2">
        <v>5</v>
      </c>
      <c r="X62" s="2">
        <v>5</v>
      </c>
      <c r="Y62" s="3">
        <f>(SUM(S62:X62))/60*10</f>
        <v>3.333333333333333</v>
      </c>
      <c r="Z62" s="2">
        <f t="shared" si="6"/>
        <v>50</v>
      </c>
      <c r="AA62" s="2">
        <v>0</v>
      </c>
      <c r="AB62" s="2">
        <v>20</v>
      </c>
      <c r="AC62" s="3">
        <f>ScoresTable[[#This Row],[Transfer_Q2]]/30*10</f>
        <v>6.6666666666666661</v>
      </c>
      <c r="AD62" s="2">
        <v>0</v>
      </c>
      <c r="AE62" s="2">
        <v>5</v>
      </c>
      <c r="AF62" s="2">
        <v>3</v>
      </c>
      <c r="AG62" s="2">
        <v>0</v>
      </c>
      <c r="AH62" s="2">
        <v>5</v>
      </c>
      <c r="AI62" s="2">
        <v>5</v>
      </c>
      <c r="AJ62" s="3">
        <f>(SUM(AD62:AI62))/60*10</f>
        <v>3</v>
      </c>
      <c r="AK62" s="2">
        <f t="shared" si="7"/>
        <v>38</v>
      </c>
      <c r="AL62" s="2">
        <f t="shared" si="9"/>
        <v>27</v>
      </c>
      <c r="AM62" s="2">
        <f t="shared" si="10"/>
        <v>-12</v>
      </c>
      <c r="AN62" s="2">
        <f t="shared" si="11"/>
        <v>15</v>
      </c>
      <c r="AO62" s="2" t="s">
        <v>39</v>
      </c>
    </row>
    <row r="63" spans="1:42">
      <c r="A63" s="2">
        <v>62</v>
      </c>
      <c r="B63" s="4" t="s">
        <v>17</v>
      </c>
      <c r="C63" s="2">
        <v>3</v>
      </c>
      <c r="D63" t="s">
        <v>83</v>
      </c>
      <c r="E63" s="2">
        <v>10</v>
      </c>
      <c r="F63" s="2">
        <v>20</v>
      </c>
      <c r="G63" s="3">
        <f>ScoresTable[[#This Row],[Pre_Q2]]/30*10</f>
        <v>6.6666666666666661</v>
      </c>
      <c r="H63" s="2">
        <v>0</v>
      </c>
      <c r="I63" s="2">
        <v>3</v>
      </c>
      <c r="J63" s="2">
        <v>0</v>
      </c>
      <c r="K63" s="2">
        <v>0</v>
      </c>
      <c r="L63" s="2">
        <v>0</v>
      </c>
      <c r="M63" s="2">
        <v>3</v>
      </c>
      <c r="N63" s="3">
        <f>(SUM(H63:M63))/60*10</f>
        <v>1</v>
      </c>
      <c r="O63" s="2">
        <f t="shared" si="8"/>
        <v>36</v>
      </c>
      <c r="P63" s="2">
        <v>0</v>
      </c>
      <c r="Q63" s="2">
        <v>0</v>
      </c>
      <c r="R63" s="3">
        <f>ScoresTable[[#This Row],[Post_Q2]]/30*10</f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3">
        <f>(SUM(S63:X63))/60*10</f>
        <v>0</v>
      </c>
      <c r="Z63" s="2">
        <f t="shared" si="6"/>
        <v>0</v>
      </c>
      <c r="AA63" s="2">
        <v>0</v>
      </c>
      <c r="AB63" s="2">
        <v>0</v>
      </c>
      <c r="AC63" s="3">
        <f>ScoresTable[[#This Row],[Transfer_Q2]]/30*10</f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3">
        <f>(SUM(AD63:AI63))/60*10</f>
        <v>0</v>
      </c>
      <c r="AK63" s="2">
        <f t="shared" si="7"/>
        <v>0</v>
      </c>
      <c r="AL63" s="2">
        <f t="shared" si="9"/>
        <v>-36</v>
      </c>
      <c r="AM63" s="2">
        <f t="shared" si="10"/>
        <v>0</v>
      </c>
      <c r="AN63" s="2">
        <f t="shared" si="11"/>
        <v>-36</v>
      </c>
      <c r="AO63" s="2" t="s">
        <v>43</v>
      </c>
      <c r="AP63" s="14"/>
    </row>
    <row r="64" spans="1:42">
      <c r="A64" s="2">
        <v>63</v>
      </c>
      <c r="B64" s="4" t="s">
        <v>17</v>
      </c>
      <c r="C64" s="2">
        <v>3</v>
      </c>
      <c r="E64" s="2">
        <v>10</v>
      </c>
      <c r="F64" s="2">
        <v>5</v>
      </c>
      <c r="G64" s="3">
        <f>ScoresTable[[#This Row],[Pre_Q2]]/30*10</f>
        <v>1.6666666666666665</v>
      </c>
      <c r="H64" s="2">
        <v>0</v>
      </c>
      <c r="I64" s="2">
        <v>0</v>
      </c>
      <c r="J64" s="2">
        <v>0</v>
      </c>
      <c r="K64" s="2">
        <v>5</v>
      </c>
      <c r="L64" s="2">
        <v>0</v>
      </c>
      <c r="M64" s="2">
        <v>3</v>
      </c>
      <c r="N64" s="3">
        <f>(SUM(H64:M64))/60*10</f>
        <v>1.3333333333333333</v>
      </c>
      <c r="O64" s="2">
        <f t="shared" si="8"/>
        <v>23</v>
      </c>
      <c r="P64" s="2">
        <v>0</v>
      </c>
      <c r="Q64" s="2">
        <v>20</v>
      </c>
      <c r="R64" s="3">
        <f>ScoresTable[[#This Row],[Post_Q2]]/30*10</f>
        <v>6.6666666666666661</v>
      </c>
      <c r="S64" s="2">
        <v>5</v>
      </c>
      <c r="T64" s="2">
        <v>0</v>
      </c>
      <c r="U64" s="2">
        <v>0</v>
      </c>
      <c r="V64" s="2">
        <v>5</v>
      </c>
      <c r="W64" s="2">
        <v>5</v>
      </c>
      <c r="X64" s="2">
        <v>5</v>
      </c>
      <c r="Y64" s="3">
        <f>(SUM(S64:X64))/60*10</f>
        <v>3.333333333333333</v>
      </c>
      <c r="Z64" s="2">
        <f t="shared" si="6"/>
        <v>40</v>
      </c>
      <c r="AA64" s="2">
        <v>0</v>
      </c>
      <c r="AB64" s="2">
        <v>10</v>
      </c>
      <c r="AC64" s="3">
        <f>ScoresTable[[#This Row],[Transfer_Q2]]/30*10</f>
        <v>3.333333333333333</v>
      </c>
      <c r="AD64" s="2">
        <v>5</v>
      </c>
      <c r="AE64" s="2">
        <v>3</v>
      </c>
      <c r="AF64" s="2">
        <v>3</v>
      </c>
      <c r="AG64" s="2">
        <v>0</v>
      </c>
      <c r="AH64" s="2">
        <v>5</v>
      </c>
      <c r="AI64" s="2">
        <v>5</v>
      </c>
      <c r="AJ64" s="3">
        <f>(SUM(AD64:AI64))/60*10</f>
        <v>3.5</v>
      </c>
      <c r="AK64" s="2">
        <f t="shared" si="7"/>
        <v>31</v>
      </c>
      <c r="AL64" s="2">
        <f t="shared" si="9"/>
        <v>17</v>
      </c>
      <c r="AM64" s="2">
        <f t="shared" si="10"/>
        <v>-9</v>
      </c>
      <c r="AN64" s="2">
        <f t="shared" si="11"/>
        <v>8</v>
      </c>
      <c r="AO64" s="2" t="s">
        <v>39</v>
      </c>
    </row>
    <row r="65" spans="1:41">
      <c r="A65" s="2">
        <v>64</v>
      </c>
      <c r="B65" s="4" t="s">
        <v>15</v>
      </c>
      <c r="C65" s="2">
        <v>3</v>
      </c>
      <c r="E65" s="2">
        <v>10</v>
      </c>
      <c r="F65" s="2">
        <v>5</v>
      </c>
      <c r="G65" s="3">
        <f>ScoresTable[[#This Row],[Pre_Q2]]/30*10</f>
        <v>1.6666666666666665</v>
      </c>
      <c r="H65" s="2">
        <v>0</v>
      </c>
      <c r="I65" s="2">
        <v>3</v>
      </c>
      <c r="J65" s="2">
        <v>0</v>
      </c>
      <c r="K65" s="2">
        <v>5</v>
      </c>
      <c r="L65" s="2">
        <v>5</v>
      </c>
      <c r="M65" s="2">
        <v>3</v>
      </c>
      <c r="N65" s="3">
        <f>(SUM(H65:M65))/60*10</f>
        <v>2.6666666666666665</v>
      </c>
      <c r="O65" s="2">
        <f t="shared" si="8"/>
        <v>31</v>
      </c>
      <c r="P65" s="2">
        <v>0</v>
      </c>
      <c r="Q65" s="2">
        <v>20</v>
      </c>
      <c r="R65" s="3">
        <f>ScoresTable[[#This Row],[Post_Q2]]/30*10</f>
        <v>6.6666666666666661</v>
      </c>
      <c r="S65" s="2">
        <v>0</v>
      </c>
      <c r="T65" s="2">
        <v>5</v>
      </c>
      <c r="U65" s="2">
        <v>0</v>
      </c>
      <c r="V65" s="2">
        <v>0</v>
      </c>
      <c r="W65" s="2">
        <v>5</v>
      </c>
      <c r="X65" s="2">
        <v>5</v>
      </c>
      <c r="Y65" s="3">
        <f>(SUM(S65:X65))/60*10</f>
        <v>2.5</v>
      </c>
      <c r="Z65" s="2">
        <f t="shared" si="6"/>
        <v>35</v>
      </c>
      <c r="AA65" s="2">
        <v>10</v>
      </c>
      <c r="AB65" s="2">
        <v>10</v>
      </c>
      <c r="AC65" s="3">
        <f>ScoresTable[[#This Row],[Transfer_Q2]]/30*10</f>
        <v>3.333333333333333</v>
      </c>
      <c r="AD65" s="2">
        <v>0</v>
      </c>
      <c r="AE65" s="2">
        <v>5</v>
      </c>
      <c r="AF65" s="2">
        <v>5</v>
      </c>
      <c r="AG65" s="2">
        <v>0</v>
      </c>
      <c r="AH65" s="2">
        <v>5</v>
      </c>
      <c r="AI65" s="2">
        <v>5</v>
      </c>
      <c r="AJ65" s="3">
        <f>(SUM(AD65:AI65))/60*10</f>
        <v>3.333333333333333</v>
      </c>
      <c r="AK65" s="2">
        <f t="shared" si="7"/>
        <v>40</v>
      </c>
      <c r="AL65" s="2">
        <f t="shared" si="9"/>
        <v>4</v>
      </c>
      <c r="AM65" s="2">
        <f t="shared" si="10"/>
        <v>5</v>
      </c>
      <c r="AN65" s="2">
        <f t="shared" si="11"/>
        <v>9</v>
      </c>
      <c r="AO65" s="2" t="s">
        <v>39</v>
      </c>
    </row>
    <row r="66" spans="1:41" ht="15">
      <c r="A66" s="8" t="s">
        <v>42</v>
      </c>
      <c r="B66" s="6"/>
      <c r="C66" s="5"/>
      <c r="D66" s="5"/>
      <c r="E66" s="7">
        <f>AVERAGE(E2:E65)</f>
        <v>6.875</v>
      </c>
      <c r="F66" s="7">
        <f>AVERAGE(F2:F65)</f>
        <v>6.71875</v>
      </c>
      <c r="G66" s="7">
        <f>ScoresTable[[#This Row],[Pre_Q2]]/30*10</f>
        <v>2.2395833333333335</v>
      </c>
      <c r="H66" s="7">
        <f>AVERAGE(H2:H65)</f>
        <v>0.390625</v>
      </c>
      <c r="I66" s="7">
        <f t="shared" ref="I66:M66" si="15">AVERAGE(I2:I65)</f>
        <v>1.40625</v>
      </c>
      <c r="J66" s="7">
        <f t="shared" si="15"/>
        <v>1.421875</v>
      </c>
      <c r="K66" s="7">
        <f t="shared" si="15"/>
        <v>0.9375</v>
      </c>
      <c r="L66" s="7">
        <f t="shared" si="15"/>
        <v>2.859375</v>
      </c>
      <c r="M66" s="7">
        <f t="shared" si="15"/>
        <v>2.875</v>
      </c>
      <c r="N66" s="7">
        <f>AVERAGE(N2:N65)</f>
        <v>1.6484375000000004</v>
      </c>
      <c r="O66" s="7">
        <f>AVERAGE(O2:O65)</f>
        <v>23.484375</v>
      </c>
      <c r="P66" s="7">
        <f t="shared" ref="P66" si="16">AVERAGE(P2:P65)</f>
        <v>8.28125</v>
      </c>
      <c r="Q66" s="7">
        <f t="shared" ref="Q66" si="17">AVERAGE(Q2:Q65)</f>
        <v>18.203125</v>
      </c>
      <c r="R66" s="7">
        <f>ScoresTable[[#This Row],[Post_Q2]]/30*10</f>
        <v>6.0677083333333339</v>
      </c>
      <c r="S66" s="7">
        <f t="shared" ref="S66" si="18">AVERAGE(S2:S65)</f>
        <v>1.25</v>
      </c>
      <c r="T66" s="7">
        <f t="shared" ref="T66" si="19">AVERAGE(T2:T65)</f>
        <v>3.703125</v>
      </c>
      <c r="U66" s="7">
        <f t="shared" ref="U66" si="20">AVERAGE(U2:U65)</f>
        <v>3.765625</v>
      </c>
      <c r="V66" s="7">
        <f t="shared" ref="V66" si="21">AVERAGE(V2:V65)</f>
        <v>1.640625</v>
      </c>
      <c r="W66" s="7">
        <f t="shared" ref="W66" si="22">AVERAGE(W2:W65)</f>
        <v>3.671875</v>
      </c>
      <c r="X66" s="7">
        <f t="shared" ref="X66" si="23">AVERAGE(X2:X65)</f>
        <v>4.09375</v>
      </c>
      <c r="Y66" s="7">
        <f>AVERAGE(Y2:Y65)</f>
        <v>3.0208333333333335</v>
      </c>
      <c r="Z66" s="7">
        <f t="shared" ref="Z66" si="24">AVERAGE(Z2:Z65)</f>
        <v>44.609375</v>
      </c>
      <c r="AA66" s="7">
        <f t="shared" ref="AA66" si="25">AVERAGE(AA2:AA65)</f>
        <v>5</v>
      </c>
      <c r="AB66" s="7">
        <f t="shared" ref="AB66" si="26">AVERAGE(AB2:AB65)</f>
        <v>16.796875</v>
      </c>
      <c r="AC66" s="7">
        <f>ScoresTable[[#This Row],[Transfer_Q2]]/30*10</f>
        <v>5.5989583333333339</v>
      </c>
      <c r="AD66" s="7">
        <f t="shared" ref="AD66" si="27">AVERAGE(AD2:AD65)</f>
        <v>0.859375</v>
      </c>
      <c r="AE66" s="7">
        <f t="shared" ref="AE66" si="28">AVERAGE(AE2:AE65)</f>
        <v>4.015625</v>
      </c>
      <c r="AF66" s="7">
        <f t="shared" ref="AF66" si="29">AVERAGE(AF2:AF65)</f>
        <v>4.546875</v>
      </c>
      <c r="AG66" s="7">
        <f t="shared" ref="AG66" si="30">AVERAGE(AG2:AG65)</f>
        <v>1.8125</v>
      </c>
      <c r="AH66" s="7">
        <f t="shared" ref="AH66" si="31">AVERAGE(AH2:AH65)</f>
        <v>3.28125</v>
      </c>
      <c r="AI66" s="7">
        <f t="shared" ref="AI66" si="32">AVERAGE(AI2:AI65)</f>
        <v>3.78125</v>
      </c>
      <c r="AJ66" s="7">
        <f>AVERAGE(AJ2:AJ65)</f>
        <v>3.0494791666666661</v>
      </c>
      <c r="AK66" s="7">
        <f t="shared" ref="AK66" si="33">AVERAGE(AK2:AK65)</f>
        <v>40.09375</v>
      </c>
      <c r="AL66" s="7">
        <f t="shared" ref="AL66" si="34">AVERAGE(AL2:AL65)</f>
        <v>21.125</v>
      </c>
      <c r="AM66" s="7">
        <f t="shared" ref="AM66" si="35">AVERAGE(AM2:AM65)</f>
        <v>-4.515625</v>
      </c>
      <c r="AN66" s="7">
        <f t="shared" ref="AN66" si="36">AVERAGE(AN2:AN65)</f>
        <v>16.609375</v>
      </c>
      <c r="AO66" s="7"/>
    </row>
  </sheetData>
  <phoneticPr fontId="3" type="noConversion"/>
  <conditionalFormatting sqref="A2:Q60 A63:Q65 A66:AO66 S2:AB2 AD2:AO60 R2:R65 AC2:AC65 S3:Y60 AA3:AB60 Z3:Z65 AK3:AK65 O4:O65 AO61:AO65 S63:Y65 AA63:AB65 AD63:AN65">
    <cfRule type="expression" dxfId="3" priority="21">
      <formula>$AO2="Ja"</formula>
    </cfRule>
  </conditionalFormatting>
  <conditionalFormatting sqref="A61:Q61 S61:Y61 AA61:AB61 AD61:AN61">
    <cfRule type="expression" dxfId="2" priority="132">
      <formula>#REF!="Ja"</formula>
    </cfRule>
  </conditionalFormatting>
  <conditionalFormatting sqref="A62:Q62 S62:Y62 AA62:AB62 AD62:AN62">
    <cfRule type="expression" dxfId="1" priority="149">
      <formula>$AO61="Ja"</formula>
    </cfRule>
  </conditionalFormatting>
  <conditionalFormatting sqref="B2:B66">
    <cfRule type="expression" dxfId="0" priority="11">
      <formula>$B2=""</formula>
    </cfRule>
  </conditionalFormatting>
  <conditionalFormatting sqref="O2:O65">
    <cfRule type="dataBar" priority="4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{BF5DAD49-F54B-4BCE-9C87-6BB96961F033}</x14:id>
        </ext>
      </extLst>
    </cfRule>
  </conditionalFormatting>
  <conditionalFormatting sqref="O66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{BA8B7B4D-6906-4E88-BA5C-0D1A3ADEF6A3}</x14:id>
        </ext>
      </extLst>
    </cfRule>
  </conditionalFormatting>
  <conditionalFormatting sqref="Z2:Z65">
    <cfRule type="dataBar" priority="8">
      <dataBar>
        <cfvo type="min"/>
        <cfvo type="max"/>
        <color rgb="FF5B9BD5"/>
      </dataBar>
    </cfRule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{A74D30F1-22D8-40C0-9524-2749BE159F4E}</x14:id>
        </ext>
      </extLst>
    </cfRule>
  </conditionalFormatting>
  <conditionalFormatting sqref="Z66">
    <cfRule type="dataBar" priority="123">
      <dataBar>
        <cfvo type="min"/>
        <cfvo type="max"/>
        <color rgb="FF5B9BD5"/>
      </dataBar>
    </cfRule>
    <cfRule type="dataBar" priority="12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{FB4A17C3-7B1F-49AD-8733-785AE86806BC}</x14:id>
        </ext>
      </extLst>
    </cfRule>
  </conditionalFormatting>
  <conditionalFormatting sqref="AK2:AK66">
    <cfRule type="dataBar" priority="127">
      <dataBar>
        <cfvo type="min"/>
        <cfvo type="max"/>
        <color rgb="FF5B9BD5"/>
      </dataBar>
    </cfRule>
    <cfRule type="dataBar" priority="128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{4B0BA4C8-987B-2208-FDA1-DCDE904B1B7F}</x14:id>
        </ext>
      </extLst>
    </cfRule>
  </conditionalFormatting>
  <dataValidations count="6">
    <dataValidation type="list" sqref="B2:B65" xr:uid="{00000000-0002-0000-0000-000000000000}">
      <formula1>"A,B,C"</formula1>
    </dataValidation>
    <dataValidation type="list" sqref="AA2:AA8 AD2:AI65 H2:M65 S2:X65" xr:uid="{00000000-0002-0000-0000-000002000000}">
      <formula1>"0,1,2,3,4,5,6,7,8,9,10"</formula1>
    </dataValidation>
    <dataValidation type="list" sqref="F2:F65 Q2:Q65 AB2:AB65" xr:uid="{7EB92457-965D-4E2E-9EB1-9E588F2A2653}">
      <formula1>"0,5,10,20,30"</formula1>
    </dataValidation>
    <dataValidation type="decimal" sqref="Y2:Y65 AJ2:AJ65 N2:N65" xr:uid="{2BE88A06-8F36-440C-9EDE-9775B72041E5}">
      <formula1>0</formula1>
      <formula2>10</formula2>
    </dataValidation>
    <dataValidation type="list" sqref="E2:E65 P2:P65 AA9:AA65" xr:uid="{E81DC4A7-76A2-4D32-816E-479176CD1EA0}">
      <formula1>"0,10"</formula1>
    </dataValidation>
    <dataValidation type="list" sqref="AO2:AO65" xr:uid="{00000000-0002-0000-0000-000001000000}">
      <formula1>"No,Yes"</formula1>
    </dataValidation>
  </dataValidations>
  <pageMargins left="0.7" right="0.7" top="0.75" bottom="0.75" header="0.3" footer="0.3"/>
  <pageSetup paperSize="9" orientation="portrait" r:id="rId1"/>
  <ignoredErrors>
    <ignoredError sqref="N2:N49 Y2:Y46 AJ2:AJ46 N50:N53 N54:N65 Y47:Y65 AJ47:AJ65" formulaRange="1"/>
    <ignoredError sqref="N66 Y66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5DAD49-F54B-4BCE-9C87-6BB96961F033}">
            <x14:dataBar>
              <x14:cfvo type="min"/>
              <x14:cfvo type="max"/>
              <x14:negativeFillColor auto="1"/>
              <x14:axisColor auto="1"/>
            </x14:dataBar>
          </x14:cfRule>
          <xm:sqref>O2:O65</xm:sqref>
        </x14:conditionalFormatting>
        <x14:conditionalFormatting xmlns:xm="http://schemas.microsoft.com/office/excel/2006/main">
          <x14:cfRule type="dataBar" id="{BA8B7B4D-6906-4E88-BA5C-0D1A3ADEF6A3}">
            <x14:dataBar>
              <x14:cfvo type="min"/>
              <x14:cfvo type="max"/>
              <x14:negativeFillColor auto="1"/>
              <x14:axisColor auto="1"/>
            </x14:dataBar>
          </x14:cfRule>
          <xm:sqref>O66</xm:sqref>
        </x14:conditionalFormatting>
        <x14:conditionalFormatting xmlns:xm="http://schemas.microsoft.com/office/excel/2006/main">
          <x14:cfRule type="dataBar" id="{A74D30F1-22D8-40C0-9524-2749BE159F4E}">
            <x14:dataBar>
              <x14:cfvo type="min"/>
              <x14:cfvo type="max"/>
              <x14:negativeFillColor auto="1"/>
              <x14:axisColor auto="1"/>
            </x14:dataBar>
          </x14:cfRule>
          <xm:sqref>Z2:Z65</xm:sqref>
        </x14:conditionalFormatting>
        <x14:conditionalFormatting xmlns:xm="http://schemas.microsoft.com/office/excel/2006/main">
          <x14:cfRule type="dataBar" id="{FB4A17C3-7B1F-49AD-8733-785AE86806BC}">
            <x14:dataBar>
              <x14:cfvo type="min"/>
              <x14:cfvo type="max"/>
              <x14:negativeFillColor auto="1"/>
              <x14:axisColor auto="1"/>
            </x14:dataBar>
          </x14:cfRule>
          <xm:sqref>Z66</xm:sqref>
        </x14:conditionalFormatting>
        <x14:conditionalFormatting xmlns:xm="http://schemas.microsoft.com/office/excel/2006/main">
          <x14:cfRule type="dataBar" id="{4B0BA4C8-987B-2208-FDA1-DCDE904B1B7F}">
            <x14:dataBar>
              <x14:cfvo type="min"/>
              <x14:cfvo type="max"/>
              <x14:negativeFillColor auto="1"/>
              <x14:axisColor auto="1"/>
            </x14:dataBar>
          </x14:cfRule>
          <xm:sqref>AK2:AK66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8173-C14B-4CEB-AF53-50EE7EB21892}">
  <dimension ref="A2:H63"/>
  <sheetViews>
    <sheetView zoomScale="70" zoomScaleNormal="70" workbookViewId="0">
      <selection activeCell="O37" sqref="O37"/>
    </sheetView>
  </sheetViews>
  <sheetFormatPr defaultRowHeight="14.25"/>
  <cols>
    <col min="1" max="1" width="39.625" bestFit="1" customWidth="1"/>
    <col min="2" max="2" width="27.5" bestFit="1" customWidth="1"/>
    <col min="3" max="3" width="34.25" bestFit="1" customWidth="1"/>
    <col min="4" max="4" width="34.75" customWidth="1"/>
    <col min="5" max="5" width="29.625" bestFit="1" customWidth="1"/>
    <col min="6" max="6" width="29.75" bestFit="1" customWidth="1"/>
    <col min="7" max="7" width="34.375" bestFit="1" customWidth="1"/>
    <col min="8" max="8" width="33.375" bestFit="1" customWidth="1"/>
  </cols>
  <sheetData>
    <row r="2" spans="1:8">
      <c r="A2" s="9" t="s">
        <v>14</v>
      </c>
      <c r="B2" t="s">
        <v>39</v>
      </c>
    </row>
    <row r="3" spans="1:8" ht="15">
      <c r="A3" s="12" t="s">
        <v>72</v>
      </c>
    </row>
    <row r="4" spans="1:8">
      <c r="A4" s="9" t="s">
        <v>46</v>
      </c>
      <c r="B4" t="s">
        <v>79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</row>
    <row r="5" spans="1:8">
      <c r="A5" s="10" t="s">
        <v>15</v>
      </c>
      <c r="B5">
        <v>20</v>
      </c>
      <c r="C5">
        <v>19.25</v>
      </c>
      <c r="D5">
        <v>48.6</v>
      </c>
      <c r="E5">
        <v>39.200000000000003</v>
      </c>
      <c r="F5">
        <v>29.35</v>
      </c>
      <c r="G5">
        <v>-9.4</v>
      </c>
      <c r="H5">
        <v>19.95</v>
      </c>
    </row>
    <row r="6" spans="1:8">
      <c r="A6" s="10" t="s">
        <v>16</v>
      </c>
      <c r="B6">
        <v>19</v>
      </c>
      <c r="C6">
        <v>26.684210526315791</v>
      </c>
      <c r="D6">
        <v>40.736842105263158</v>
      </c>
      <c r="E6">
        <v>45.10526315789474</v>
      </c>
      <c r="F6">
        <v>14.052631578947368</v>
      </c>
      <c r="G6">
        <v>4.3684210526315788</v>
      </c>
      <c r="H6">
        <v>18.421052631578949</v>
      </c>
    </row>
    <row r="7" spans="1:8">
      <c r="A7" s="10" t="s">
        <v>17</v>
      </c>
      <c r="B7">
        <v>22</v>
      </c>
      <c r="C7">
        <v>24.545454545454547</v>
      </c>
      <c r="D7">
        <v>46.590909090909093</v>
      </c>
      <c r="E7">
        <v>38.636363636363633</v>
      </c>
      <c r="F7">
        <v>22.045454545454547</v>
      </c>
      <c r="G7">
        <v>-7.9545454545454541</v>
      </c>
      <c r="H7">
        <v>14.090909090909092</v>
      </c>
    </row>
    <row r="8" spans="1:8">
      <c r="A8" s="10" t="s">
        <v>47</v>
      </c>
      <c r="B8">
        <v>61</v>
      </c>
      <c r="C8">
        <v>23.475409836065573</v>
      </c>
      <c r="D8">
        <v>45.42622950819672</v>
      </c>
      <c r="E8">
        <v>40.83606557377049</v>
      </c>
      <c r="F8">
        <v>21.950819672131146</v>
      </c>
      <c r="G8">
        <v>-4.5901639344262293</v>
      </c>
      <c r="H8">
        <v>17.360655737704917</v>
      </c>
    </row>
    <row r="12" spans="1:8">
      <c r="A12" s="9" t="s">
        <v>14</v>
      </c>
      <c r="B12" t="s">
        <v>39</v>
      </c>
    </row>
    <row r="13" spans="1:8" ht="15">
      <c r="A13" s="12" t="s">
        <v>69</v>
      </c>
    </row>
    <row r="14" spans="1:8">
      <c r="A14" s="9" t="s">
        <v>46</v>
      </c>
      <c r="B14" t="s">
        <v>54</v>
      </c>
      <c r="C14" t="s">
        <v>61</v>
      </c>
      <c r="D14" t="s">
        <v>62</v>
      </c>
    </row>
    <row r="15" spans="1:8">
      <c r="A15" s="10" t="s">
        <v>15</v>
      </c>
      <c r="B15">
        <v>7</v>
      </c>
      <c r="C15">
        <v>0.91666666666666663</v>
      </c>
      <c r="D15">
        <v>1.5833333333333335</v>
      </c>
    </row>
    <row r="16" spans="1:8">
      <c r="A16" s="10" t="s">
        <v>16</v>
      </c>
      <c r="B16">
        <v>7.8947368421052628</v>
      </c>
      <c r="C16">
        <v>2.9824561403508767</v>
      </c>
      <c r="D16">
        <v>1.6403508771929822</v>
      </c>
    </row>
    <row r="17" spans="1:4">
      <c r="A17" s="10" t="s">
        <v>17</v>
      </c>
      <c r="B17">
        <v>5.9090909090909092</v>
      </c>
      <c r="C17">
        <v>2.8030303030303023</v>
      </c>
      <c r="D17">
        <v>1.7045454545454546</v>
      </c>
    </row>
    <row r="18" spans="1:4">
      <c r="A18" s="10" t="s">
        <v>47</v>
      </c>
      <c r="B18">
        <v>6.8852459016393439</v>
      </c>
      <c r="C18">
        <v>2.2404371584699452</v>
      </c>
      <c r="D18">
        <v>1.6448087431693985</v>
      </c>
    </row>
    <row r="21" spans="1:4">
      <c r="A21" s="9" t="s">
        <v>14</v>
      </c>
      <c r="B21" t="s">
        <v>39</v>
      </c>
    </row>
    <row r="22" spans="1:4" ht="15">
      <c r="A22" s="12" t="s">
        <v>70</v>
      </c>
    </row>
    <row r="23" spans="1:4">
      <c r="A23" s="9" t="s">
        <v>46</v>
      </c>
      <c r="B23" t="s">
        <v>55</v>
      </c>
      <c r="C23" t="s">
        <v>63</v>
      </c>
      <c r="D23" t="s">
        <v>64</v>
      </c>
    </row>
    <row r="24" spans="1:4">
      <c r="A24" s="10" t="s">
        <v>15</v>
      </c>
      <c r="B24">
        <v>7.5</v>
      </c>
      <c r="C24">
        <v>6.916666666666667</v>
      </c>
      <c r="D24">
        <v>3.3916666666666666</v>
      </c>
    </row>
    <row r="25" spans="1:4">
      <c r="A25" s="10" t="s">
        <v>16</v>
      </c>
      <c r="B25">
        <v>10</v>
      </c>
      <c r="C25">
        <v>5.1754385964912277</v>
      </c>
      <c r="D25">
        <v>2.5350877192982453</v>
      </c>
    </row>
    <row r="26" spans="1:4">
      <c r="A26" s="10" t="s">
        <v>17</v>
      </c>
      <c r="B26">
        <v>8.1818181818181817</v>
      </c>
      <c r="C26">
        <v>6.4393939393939386</v>
      </c>
      <c r="D26">
        <v>3.1818181818181817</v>
      </c>
    </row>
    <row r="27" spans="1:4">
      <c r="A27" s="10" t="s">
        <v>47</v>
      </c>
      <c r="B27">
        <v>8.5245901639344268</v>
      </c>
      <c r="C27">
        <v>6.2021857923497272</v>
      </c>
      <c r="D27">
        <v>3.0491803278688532</v>
      </c>
    </row>
    <row r="30" spans="1:4">
      <c r="A30" s="9" t="s">
        <v>14</v>
      </c>
      <c r="B30" t="s">
        <v>39</v>
      </c>
    </row>
    <row r="31" spans="1:4" ht="15">
      <c r="A31" s="12" t="s">
        <v>71</v>
      </c>
    </row>
    <row r="32" spans="1:4">
      <c r="A32" s="9" t="s">
        <v>46</v>
      </c>
      <c r="B32" t="s">
        <v>66</v>
      </c>
      <c r="C32" t="s">
        <v>67</v>
      </c>
      <c r="D32" t="s">
        <v>68</v>
      </c>
    </row>
    <row r="33" spans="1:4">
      <c r="A33" s="10" t="s">
        <v>15</v>
      </c>
      <c r="B33">
        <v>5</v>
      </c>
      <c r="C33">
        <v>5.75</v>
      </c>
      <c r="D33">
        <v>2.8250000000000002</v>
      </c>
    </row>
    <row r="34" spans="1:4">
      <c r="A34" s="10" t="s">
        <v>16</v>
      </c>
      <c r="B34">
        <v>6.3157894736842106</v>
      </c>
      <c r="C34">
        <v>6.5789473684210522</v>
      </c>
      <c r="D34">
        <v>3.1754385964912282</v>
      </c>
    </row>
    <row r="35" spans="1:4">
      <c r="A35" s="10" t="s">
        <v>17</v>
      </c>
      <c r="B35">
        <v>4.0909090909090908</v>
      </c>
      <c r="C35">
        <v>4.9242424242424239</v>
      </c>
      <c r="D35">
        <v>3.2954545454545463</v>
      </c>
    </row>
    <row r="36" spans="1:4">
      <c r="A36" s="10" t="s">
        <v>47</v>
      </c>
      <c r="B36">
        <v>5.081967213114754</v>
      </c>
      <c r="C36">
        <v>5.7103825136612016</v>
      </c>
      <c r="D36">
        <v>3.1038251366120226</v>
      </c>
    </row>
    <row r="40" spans="1:4" ht="15">
      <c r="A40" s="15" t="s">
        <v>91</v>
      </c>
      <c r="B40" t="s">
        <v>15</v>
      </c>
      <c r="C40" t="s">
        <v>16</v>
      </c>
      <c r="D40" t="s">
        <v>17</v>
      </c>
    </row>
    <row r="41" spans="1:4">
      <c r="A41" t="s">
        <v>73</v>
      </c>
      <c r="B41">
        <f>GETPIVOTDATA("Gemiddelde van Pre_Total",$A$4,"Condition","A")</f>
        <v>19.25</v>
      </c>
      <c r="C41">
        <f>GETPIVOTDATA("Gemiddelde van Pre_Total",$A$4,"Condition","B")</f>
        <v>26.684210526315791</v>
      </c>
      <c r="D41">
        <f>GETPIVOTDATA("Gemiddelde van Pre_Total",$A$4,"Condition","C")</f>
        <v>24.545454545454547</v>
      </c>
    </row>
    <row r="42" spans="1:4">
      <c r="A42" t="s">
        <v>74</v>
      </c>
      <c r="B42">
        <f>GETPIVOTDATA("Gemiddelde van Post_Total",$A$4,"Condition","A")</f>
        <v>48.6</v>
      </c>
      <c r="C42">
        <f>GETPIVOTDATA("Gemiddelde van Post_Total",$A$4,"Condition","B")</f>
        <v>40.736842105263158</v>
      </c>
      <c r="D42">
        <f>GETPIVOTDATA("Gemiddelde van Post_Total",$A$4,"Condition","C")</f>
        <v>46.590909090909093</v>
      </c>
    </row>
    <row r="43" spans="1:4">
      <c r="A43" t="s">
        <v>75</v>
      </c>
      <c r="B43">
        <f>GETPIVOTDATA("Gemiddelde van Transfer_Total",$A$4,"Condition","A")</f>
        <v>39.200000000000003</v>
      </c>
      <c r="C43">
        <f>GETPIVOTDATA("Gemiddelde van Transfer_Total",$A$4,"Condition","B")</f>
        <v>45.10526315789474</v>
      </c>
      <c r="D43">
        <f>GETPIVOTDATA("Gemiddelde van Transfer_Total",$A$4,"Condition","C")</f>
        <v>38.636363636363633</v>
      </c>
    </row>
    <row r="45" spans="1:4" ht="15">
      <c r="A45" s="15" t="s">
        <v>90</v>
      </c>
      <c r="B45" t="s">
        <v>76</v>
      </c>
      <c r="C45" t="s">
        <v>77</v>
      </c>
      <c r="D45" t="s">
        <v>78</v>
      </c>
    </row>
    <row r="46" spans="1:4">
      <c r="A46" t="s">
        <v>15</v>
      </c>
      <c r="B46" s="11">
        <f>GETPIVOTDATA("Gemiddelde van Gain_Pre_Post",$A$4,"Condition","A")</f>
        <v>29.35</v>
      </c>
      <c r="C46" s="11">
        <f>GETPIVOTDATA("Gemiddelde van Gain_Post_Transfer",$A$4,"Condition","A")</f>
        <v>-9.4</v>
      </c>
      <c r="D46" s="11">
        <f>GETPIVOTDATA("Gemiddelde van Gain_Pre_Transfer",$A$4,"Condition","A")</f>
        <v>19.95</v>
      </c>
    </row>
    <row r="47" spans="1:4">
      <c r="A47" t="s">
        <v>16</v>
      </c>
      <c r="B47" s="11">
        <f>GETPIVOTDATA("Gemiddelde van Gain_Pre_Post",$A$4,"Condition","B")</f>
        <v>14.052631578947368</v>
      </c>
      <c r="C47" s="11">
        <f>GETPIVOTDATA("Gemiddelde van Gain_Post_Transfer",$A$4,"Condition","B")</f>
        <v>4.3684210526315788</v>
      </c>
      <c r="D47" s="11">
        <f>GETPIVOTDATA("Gemiddelde van Gain_Pre_Transfer",$A$4,"Condition","B")</f>
        <v>18.421052631578949</v>
      </c>
    </row>
    <row r="48" spans="1:4">
      <c r="A48" t="s">
        <v>17</v>
      </c>
      <c r="B48" s="11">
        <f>GETPIVOTDATA("Gemiddelde van Gain_Pre_Post",$A$4,"Condition","C")</f>
        <v>22.045454545454547</v>
      </c>
      <c r="C48" s="11">
        <f>GETPIVOTDATA("Gemiddelde van Gain_Post_Transfer",$A$4,"Condition","C")</f>
        <v>-7.9545454545454541</v>
      </c>
      <c r="D48" s="11">
        <f>GETPIVOTDATA("Gemiddelde van Gain_Pre_Transfer",$A$4,"Condition","C")</f>
        <v>14.090909090909092</v>
      </c>
    </row>
    <row r="50" spans="1:4" ht="15">
      <c r="A50" s="15" t="s">
        <v>87</v>
      </c>
      <c r="B50" t="s">
        <v>15</v>
      </c>
      <c r="C50" t="s">
        <v>16</v>
      </c>
      <c r="D50" t="s">
        <v>17</v>
      </c>
    </row>
    <row r="51" spans="1:4">
      <c r="A51" t="s">
        <v>73</v>
      </c>
      <c r="B51">
        <f>GETPIVOTDATA("Gemiddelde van Pre_Q1",$A$14,"Condition","A")</f>
        <v>7</v>
      </c>
      <c r="C51">
        <f>GETPIVOTDATA("Gemiddelde van Pre_Q1",$A$14,"Condition","B")</f>
        <v>7.8947368421052628</v>
      </c>
      <c r="D51">
        <f>GETPIVOTDATA("Gemiddelde van Pre_Q1",$A$14,"Condition","C")</f>
        <v>5.9090909090909092</v>
      </c>
    </row>
    <row r="52" spans="1:4">
      <c r="A52" t="s">
        <v>74</v>
      </c>
      <c r="B52">
        <f>GETPIVOTDATA("Gemiddelde van Post_Q1",$A$23,"Condition","A")</f>
        <v>7.5</v>
      </c>
      <c r="C52">
        <f>GETPIVOTDATA("Gemiddelde van Post_Q1",$A$23,"Condition","B")</f>
        <v>10</v>
      </c>
      <c r="D52">
        <f>GETPIVOTDATA("Gemiddelde van Post_Q1",$A$23,"Condition","C")</f>
        <v>8.1818181818181817</v>
      </c>
    </row>
    <row r="53" spans="1:4">
      <c r="A53" t="s">
        <v>75</v>
      </c>
      <c r="B53">
        <f>GETPIVOTDATA("Gemiddelde van Transfer_Q1",$A$32,"Condition","A")</f>
        <v>5</v>
      </c>
      <c r="C53">
        <f>GETPIVOTDATA("Gemiddelde van Transfer_Q1",$A$32,"Condition","B")</f>
        <v>6.3157894736842106</v>
      </c>
      <c r="D53">
        <f>GETPIVOTDATA("Gemiddelde van Transfer_Q1",$A$32,"Condition","C")</f>
        <v>4.0909090909090908</v>
      </c>
    </row>
    <row r="55" spans="1:4" ht="15">
      <c r="A55" s="15" t="s">
        <v>88</v>
      </c>
      <c r="B55" t="s">
        <v>15</v>
      </c>
      <c r="C55" t="s">
        <v>16</v>
      </c>
      <c r="D55" t="s">
        <v>17</v>
      </c>
    </row>
    <row r="56" spans="1:4">
      <c r="A56" t="s">
        <v>73</v>
      </c>
      <c r="B56">
        <f>GETPIVOTDATA("Gemiddelde van Pre_Q2_Grade",$A$14,"Condition","A")</f>
        <v>0.91666666666666663</v>
      </c>
      <c r="C56">
        <f>GETPIVOTDATA("Gemiddelde van Pre_Q2_Grade",$A$14,"Condition","B")</f>
        <v>2.9824561403508767</v>
      </c>
      <c r="D56">
        <f>GETPIVOTDATA("Gemiddelde van Pre_Q2_Grade",$A$14,"Condition","C")</f>
        <v>2.8030303030303023</v>
      </c>
    </row>
    <row r="57" spans="1:4">
      <c r="A57" t="s">
        <v>74</v>
      </c>
      <c r="B57">
        <f>GETPIVOTDATA("Gemiddelde van Post_Q2_Grade",$A$23,"Condition","A")</f>
        <v>6.916666666666667</v>
      </c>
      <c r="C57">
        <f>GETPIVOTDATA("Gemiddelde van Post_Q2_Grade",$A$23,"Condition","B")</f>
        <v>5.1754385964912277</v>
      </c>
      <c r="D57">
        <f>GETPIVOTDATA("Gemiddelde van Post_Q2_Grade",$A$23,"Condition","C")</f>
        <v>6.4393939393939386</v>
      </c>
    </row>
    <row r="58" spans="1:4">
      <c r="A58" t="s">
        <v>75</v>
      </c>
      <c r="B58">
        <f>GETPIVOTDATA("Gemiddelde van Transfer_Q2_Grade",$A$32,"Condition","A")</f>
        <v>5.75</v>
      </c>
      <c r="C58">
        <f>GETPIVOTDATA("Gemiddelde van Transfer_Q2_Grade",$A$32,"Condition","B")</f>
        <v>6.5789473684210522</v>
      </c>
      <c r="D58">
        <f>GETPIVOTDATA("Gemiddelde van Transfer_Q2_Grade",$A$32,"Condition","C")</f>
        <v>4.9242424242424239</v>
      </c>
    </row>
    <row r="60" spans="1:4" ht="15">
      <c r="A60" s="15" t="s">
        <v>89</v>
      </c>
      <c r="B60" t="s">
        <v>15</v>
      </c>
      <c r="C60" t="s">
        <v>16</v>
      </c>
      <c r="D60" t="s">
        <v>17</v>
      </c>
    </row>
    <row r="61" spans="1:4">
      <c r="A61" t="s">
        <v>73</v>
      </c>
      <c r="B61">
        <f>GETPIVOTDATA("Gemiddelde van Pre_Q3_Grade",$A$14,"Condition","A")</f>
        <v>1.5833333333333335</v>
      </c>
      <c r="C61">
        <f>GETPIVOTDATA("Gemiddelde van Pre_Q3_Grade",$A$14,"Condition","B")</f>
        <v>1.6403508771929822</v>
      </c>
      <c r="D61">
        <f>GETPIVOTDATA("Gemiddelde van Pre_Q3_Grade",$A$14,"Condition","C")</f>
        <v>1.7045454545454546</v>
      </c>
    </row>
    <row r="62" spans="1:4">
      <c r="A62" t="s">
        <v>74</v>
      </c>
      <c r="B62">
        <f>GETPIVOTDATA("Gemiddelde van Post_Q3_Grade",$A$23,"Condition","A")</f>
        <v>3.3916666666666666</v>
      </c>
      <c r="C62">
        <f>GETPIVOTDATA("Gemiddelde van Post_Q3_Grade",$A$23,"Condition","B")</f>
        <v>2.5350877192982453</v>
      </c>
      <c r="D62">
        <f>GETPIVOTDATA("Gemiddelde van Post_Q3_Grade",$A$23,"Condition","C")</f>
        <v>3.1818181818181817</v>
      </c>
    </row>
    <row r="63" spans="1:4">
      <c r="A63" t="s">
        <v>75</v>
      </c>
      <c r="B63">
        <f>GETPIVOTDATA("Gemiddelde van Transfer_Q3_Grade",$A$32,"Condition","A")</f>
        <v>2.8250000000000002</v>
      </c>
      <c r="C63">
        <f>GETPIVOTDATA("Gemiddelde van Transfer_Q3_Grade",$A$32,"Condition","B")</f>
        <v>3.1754385964912282</v>
      </c>
      <c r="D63">
        <f>GETPIVOTDATA("Gemiddelde van Transfer_Q3_Grade",$A$32,"Condition","C")</f>
        <v>3.2954545454545463</v>
      </c>
    </row>
  </sheetData>
  <pageMargins left="0.7" right="0.7" top="0.75" bottom="0.75" header="0.3" footer="0.3"/>
  <drawing r:id="rId5"/>
</worksheet>
</file>

<file path=docMetadata/LabelInfo.xml><?xml version="1.0" encoding="utf-8"?>
<clbl:labelList xmlns:clbl="http://schemas.microsoft.com/office/2020/mipLabelMetadata">
  <clbl:label id="{084578d9-400d-4a5a-a7c7-e76ca47af400}" enabled="0" method="" siteId="{084578d9-400d-4a5a-a7c7-e76ca47af40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Scores</vt:lpstr>
      <vt:lpstr>Tables and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Verbruggen, T.M. (Tiara)</cp:lastModifiedBy>
  <dcterms:created xsi:type="dcterms:W3CDTF">2026-05-04T14:18:29Z</dcterms:created>
  <dcterms:modified xsi:type="dcterms:W3CDTF">2026-06-24T20:35:36Z</dcterms:modified>
</cp:coreProperties>
</file>